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6"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11201062\Documents\666_【その他】\VBA\"/>
    </mc:Choice>
  </mc:AlternateContent>
  <xr:revisionPtr revIDLastSave="0" documentId="13_ncr:1_{CA7A8DE9-C422-4725-8C5E-47B9FC1F334D}" xr6:coauthVersionLast="36" xr6:coauthVersionMax="36" xr10:uidLastSave="{00000000-0000-0000-0000-000000000000}"/>
  <bookViews>
    <workbookView xWindow="0" yWindow="0" windowWidth="22968" windowHeight="8628" firstSheet="5" activeTab="5" xr2:uid="{00000000-000D-0000-FFFF-FFFF00000000}"/>
  </bookViews>
  <sheets>
    <sheet name="41期グラフ用参照データ" sheetId="59" state="hidden" r:id="rId1"/>
    <sheet name="バイヤー事故情報共有リスト" sheetId="60" state="hidden" r:id="rId2"/>
    <sheet name="事故対応状況集計表" sheetId="63" r:id="rId3"/>
    <sheet name="事故対応状況集計表 (2)" sheetId="64" state="hidden" r:id="rId4"/>
    <sheet name="○月計上事故管理表" sheetId="52" state="hidden" r:id="rId5"/>
    <sheet name="経理室へアクシデント報告" sheetId="45" r:id="rId6"/>
    <sheet name="集積用" sheetId="38" r:id="rId7"/>
    <sheet name="編集用" sheetId="51" r:id="rId8"/>
    <sheet name="リスク評価基準2021" sheetId="50" r:id="rId9"/>
    <sheet name="リスト" sheetId="3" r:id="rId10"/>
    <sheet name="科目テーブル" sheetId="37" r:id="rId11"/>
    <sheet name="影響度判定例" sheetId="28" state="hidden" r:id="rId12"/>
    <sheet name="対応優先度MAP" sheetId="46" state="hidden" r:id="rId13"/>
    <sheet name="リスク評価基準" sheetId="6" r:id="rId14"/>
  </sheets>
  <functionGroups builtInGroupCount="19"/>
  <externalReferences>
    <externalReference r:id="rId15"/>
    <externalReference r:id="rId16"/>
  </externalReferences>
  <definedNames>
    <definedName name="_xlnm._FilterDatabase" localSheetId="4" hidden="1">○月計上事故管理表!$B$5:$P$5</definedName>
    <definedName name="_xlnm._FilterDatabase" localSheetId="1" hidden="1">バイヤー事故情報共有リスト!$B$5:$I$5</definedName>
    <definedName name="_xlnm._FilterDatabase" localSheetId="5" hidden="1">経理室へアクシデント報告!$B$2:$J$3</definedName>
    <definedName name="_xlnm._FilterDatabase" localSheetId="6" hidden="1">集積用!$B$5:$BM$8</definedName>
    <definedName name="ExternalData_1" localSheetId="6" hidden="1">集積用!#REF!</definedName>
    <definedName name="Z_36DBA640_A590_4DDF_A242_AC1D1109676E_.wvu.Cols" localSheetId="4" hidden="1">○月計上事故管理表!#REF!,○月計上事故管理表!#REF!,○月計上事故管理表!#REF!,○月計上事故管理表!#REF!</definedName>
    <definedName name="Z_36DBA640_A590_4DDF_A242_AC1D1109676E_.wvu.Cols" localSheetId="1" hidden="1">バイヤー事故情報共有リスト!#REF!,バイヤー事故情報共有リスト!#REF!,バイヤー事故情報共有リスト!#REF!,バイヤー事故情報共有リスト!#REF!</definedName>
    <definedName name="Z_36DBA640_A590_4DDF_A242_AC1D1109676E_.wvu.FilterData" localSheetId="4" hidden="1">○月計上事故管理表!$G$5:$N$5</definedName>
    <definedName name="Z_36DBA640_A590_4DDF_A242_AC1D1109676E_.wvu.FilterData" localSheetId="1" hidden="1">バイヤー事故情報共有リスト!$C$5:$I$5</definedName>
    <definedName name="Z_4ED1906F_E4F8_4F59_9B22_7665A8C07F72_.wvu.Cols" localSheetId="4" hidden="1">○月計上事故管理表!#REF!,○月計上事故管理表!#REF!,○月計上事故管理表!#REF!,○月計上事故管理表!#REF!</definedName>
    <definedName name="Z_4ED1906F_E4F8_4F59_9B22_7665A8C07F72_.wvu.Cols" localSheetId="1" hidden="1">バイヤー事故情報共有リスト!#REF!,バイヤー事故情報共有リスト!#REF!,バイヤー事故情報共有リスト!#REF!,バイヤー事故情報共有リスト!#REF!</definedName>
    <definedName name="Z_4ED1906F_E4F8_4F59_9B22_7665A8C07F72_.wvu.FilterData" localSheetId="4" hidden="1">○月計上事故管理表!$G$5:$N$5</definedName>
    <definedName name="Z_4ED1906F_E4F8_4F59_9B22_7665A8C07F72_.wvu.FilterData" localSheetId="1" hidden="1">バイヤー事故情報共有リスト!$C$5:$I$5</definedName>
    <definedName name="Z_5FA6126D_E897_440C_BAFF_34AC1A816327_.wvu.Cols" localSheetId="4" hidden="1">○月計上事故管理表!#REF!,○月計上事故管理表!#REF!,○月計上事故管理表!#REF!,○月計上事故管理表!#REF!</definedName>
    <definedName name="Z_5FA6126D_E897_440C_BAFF_34AC1A816327_.wvu.Cols" localSheetId="1" hidden="1">バイヤー事故情報共有リスト!#REF!,バイヤー事故情報共有リスト!#REF!,バイヤー事故情報共有リスト!#REF!,バイヤー事故情報共有リスト!#REF!</definedName>
    <definedName name="Z_5FA6126D_E897_440C_BAFF_34AC1A816327_.wvu.FilterData" localSheetId="4" hidden="1">○月計上事故管理表!$G$5:$N$5</definedName>
    <definedName name="Z_5FA6126D_E897_440C_BAFF_34AC1A816327_.wvu.FilterData" localSheetId="1" hidden="1">バイヤー事故情報共有リスト!$C$5:$I$5</definedName>
  </definedNames>
  <calcPr calcId="191029"/>
</workbook>
</file>

<file path=xl/calcChain.xml><?xml version="1.0" encoding="utf-8"?>
<calcChain xmlns="http://schemas.openxmlformats.org/spreadsheetml/2006/main">
  <c r="E9" i="63" l="1"/>
  <c r="F9" i="63"/>
  <c r="G9" i="63"/>
  <c r="H9" i="63"/>
  <c r="K9" i="63"/>
  <c r="L9" i="63"/>
  <c r="E10" i="63"/>
  <c r="F10" i="63"/>
  <c r="G10" i="63"/>
  <c r="H10" i="63"/>
  <c r="J10" i="63" s="1"/>
  <c r="K10" i="63"/>
  <c r="L10" i="63"/>
  <c r="N10" i="63" s="1"/>
  <c r="E11" i="63"/>
  <c r="F11" i="63"/>
  <c r="G11" i="63"/>
  <c r="H11" i="63"/>
  <c r="K11" i="63"/>
  <c r="L11" i="63"/>
  <c r="N11" i="63" l="1"/>
  <c r="M9" i="63"/>
  <c r="N9" i="63"/>
  <c r="I9" i="63"/>
  <c r="J9" i="63"/>
  <c r="M11" i="63"/>
  <c r="J11" i="63"/>
  <c r="I11" i="63"/>
  <c r="M10" i="63"/>
  <c r="I10" i="63"/>
  <c r="D4" i="45" l="1"/>
  <c r="F3" i="45" l="1"/>
  <c r="H3" i="45"/>
  <c r="K5" i="63" l="1"/>
  <c r="L5" i="63"/>
  <c r="K6" i="63"/>
  <c r="L6" i="63"/>
  <c r="K7" i="63"/>
  <c r="L7" i="63"/>
  <c r="K8" i="63"/>
  <c r="L8" i="63"/>
  <c r="K4" i="63"/>
  <c r="L4" i="63"/>
  <c r="G5" i="63"/>
  <c r="H5" i="63"/>
  <c r="G6" i="63"/>
  <c r="H6" i="63"/>
  <c r="G7" i="63"/>
  <c r="H7" i="63"/>
  <c r="G8" i="63"/>
  <c r="H8" i="63"/>
  <c r="H4" i="63"/>
  <c r="G4" i="63"/>
  <c r="F4" i="63"/>
  <c r="F5" i="63"/>
  <c r="F6" i="63"/>
  <c r="F7" i="63"/>
  <c r="F8" i="63"/>
  <c r="E5" i="63"/>
  <c r="E6" i="63"/>
  <c r="E7" i="63"/>
  <c r="E8" i="63"/>
  <c r="E4" i="63"/>
  <c r="L8" i="64"/>
  <c r="K8" i="64"/>
  <c r="H8" i="64"/>
  <c r="G8" i="64"/>
  <c r="F8" i="64"/>
  <c r="E8" i="64"/>
  <c r="L7" i="64"/>
  <c r="K7" i="64"/>
  <c r="H7" i="64"/>
  <c r="G7" i="64"/>
  <c r="F7" i="64"/>
  <c r="E7" i="64"/>
  <c r="L6" i="64"/>
  <c r="K6" i="64"/>
  <c r="H6" i="64"/>
  <c r="G6" i="64"/>
  <c r="F6" i="64"/>
  <c r="E6" i="64"/>
  <c r="L5" i="64"/>
  <c r="K5" i="64"/>
  <c r="H5" i="64"/>
  <c r="G5" i="64"/>
  <c r="F5" i="64"/>
  <c r="E5" i="64"/>
  <c r="L4" i="64"/>
  <c r="K4" i="64"/>
  <c r="H4" i="64"/>
  <c r="G4" i="64"/>
  <c r="F4" i="64"/>
  <c r="E4" i="64"/>
  <c r="E20" i="63" l="1"/>
  <c r="L20" i="63"/>
  <c r="F20" i="63"/>
  <c r="H20" i="63"/>
  <c r="G20" i="63"/>
  <c r="K20" i="63"/>
  <c r="L19" i="64"/>
  <c r="F19" i="64"/>
  <c r="H19" i="64"/>
  <c r="E19" i="64"/>
  <c r="K19" i="64"/>
  <c r="J5" i="64"/>
  <c r="I8" i="64"/>
  <c r="N7" i="64"/>
  <c r="I7" i="64"/>
  <c r="M8" i="64"/>
  <c r="I5" i="64"/>
  <c r="N5" i="64"/>
  <c r="J7" i="64"/>
  <c r="N8" i="64"/>
  <c r="I6" i="64"/>
  <c r="M7" i="64"/>
  <c r="J6" i="64"/>
  <c r="M6" i="64"/>
  <c r="N6" i="64"/>
  <c r="I4" i="64"/>
  <c r="M5" i="64"/>
  <c r="J8" i="64"/>
  <c r="G19" i="64"/>
  <c r="M4" i="64"/>
  <c r="J4" i="64"/>
  <c r="N4" i="64"/>
  <c r="M20" i="63" l="1"/>
  <c r="N20" i="63"/>
  <c r="J20" i="63"/>
  <c r="I20" i="63"/>
  <c r="N19" i="64"/>
  <c r="J19" i="64"/>
  <c r="M19" i="64"/>
  <c r="I19" i="64"/>
  <c r="E3" i="59"/>
  <c r="E19" i="63" l="1"/>
  <c r="F19" i="63"/>
  <c r="J8" i="63"/>
  <c r="J6" i="63"/>
  <c r="I8" i="63"/>
  <c r="G19" i="63"/>
  <c r="H19" i="63"/>
  <c r="I7" i="63"/>
  <c r="I4" i="63"/>
  <c r="M8" i="63"/>
  <c r="M7" i="63"/>
  <c r="M6" i="63"/>
  <c r="I6" i="63"/>
  <c r="M5" i="63"/>
  <c r="J7" i="63"/>
  <c r="J5" i="63"/>
  <c r="I5" i="63"/>
  <c r="N7" i="63"/>
  <c r="M4" i="63"/>
  <c r="N6" i="63"/>
  <c r="N4" i="63"/>
  <c r="N5" i="63"/>
  <c r="N8" i="63"/>
  <c r="L19" i="63"/>
  <c r="K19" i="63"/>
  <c r="J4" i="63"/>
  <c r="M19" i="63" l="1"/>
  <c r="I19" i="63"/>
  <c r="J19" i="63"/>
  <c r="N19" i="63"/>
  <c r="E13" i="59"/>
  <c r="F13" i="59"/>
  <c r="G13" i="59"/>
  <c r="H13" i="59"/>
  <c r="I13" i="59"/>
  <c r="J13" i="59"/>
  <c r="K13" i="59"/>
  <c r="L13" i="59"/>
  <c r="M13" i="59"/>
  <c r="N13" i="59"/>
  <c r="O13" i="59"/>
  <c r="P13" i="59"/>
  <c r="Q13" i="59"/>
  <c r="R13" i="59"/>
  <c r="S13" i="59"/>
  <c r="T13" i="59"/>
  <c r="U13" i="59"/>
  <c r="W13" i="59"/>
  <c r="X13" i="59"/>
  <c r="Z13" i="59"/>
  <c r="E14" i="59"/>
  <c r="F14" i="59"/>
  <c r="G14" i="59"/>
  <c r="H14" i="59"/>
  <c r="I14" i="59"/>
  <c r="J14" i="59"/>
  <c r="K14" i="59"/>
  <c r="L14" i="59"/>
  <c r="M14" i="59"/>
  <c r="N14" i="59"/>
  <c r="O14" i="59"/>
  <c r="P14" i="59"/>
  <c r="Q14" i="59"/>
  <c r="R14" i="59"/>
  <c r="S14" i="59"/>
  <c r="T14" i="59"/>
  <c r="U14" i="59"/>
  <c r="W14" i="59"/>
  <c r="X14" i="59"/>
  <c r="Z14" i="59"/>
  <c r="V14" i="59" l="1"/>
  <c r="Y14" i="59" s="1"/>
  <c r="V13" i="59"/>
  <c r="Y13" i="59" s="1"/>
  <c r="S4" i="59"/>
  <c r="S5" i="59"/>
  <c r="S6" i="59"/>
  <c r="S7" i="59"/>
  <c r="S8" i="59"/>
  <c r="S9" i="59"/>
  <c r="S10" i="59"/>
  <c r="S11" i="59"/>
  <c r="S12" i="59"/>
  <c r="S3" i="59"/>
  <c r="C3" i="52" l="1"/>
  <c r="Z12" i="59" l="1"/>
  <c r="X12" i="59"/>
  <c r="W12" i="59"/>
  <c r="U12" i="59"/>
  <c r="T12" i="59"/>
  <c r="R12" i="59"/>
  <c r="Q12" i="59"/>
  <c r="P12" i="59"/>
  <c r="O12" i="59"/>
  <c r="N12" i="59"/>
  <c r="M12" i="59"/>
  <c r="L12" i="59"/>
  <c r="K12" i="59"/>
  <c r="J12" i="59"/>
  <c r="I12" i="59"/>
  <c r="H12" i="59"/>
  <c r="G12" i="59"/>
  <c r="F12" i="59"/>
  <c r="E12" i="59"/>
  <c r="V12" i="59" l="1"/>
  <c r="Y12" i="59" s="1"/>
  <c r="C4" i="38" l="1"/>
  <c r="L3" i="52" l="1"/>
  <c r="E11" i="59" l="1"/>
  <c r="F11" i="59"/>
  <c r="G11" i="59"/>
  <c r="H11" i="59"/>
  <c r="I11" i="59"/>
  <c r="J11" i="59"/>
  <c r="K11" i="59"/>
  <c r="L11" i="59"/>
  <c r="M11" i="59"/>
  <c r="N11" i="59"/>
  <c r="O11" i="59"/>
  <c r="P11" i="59"/>
  <c r="Q11" i="59"/>
  <c r="R11" i="59"/>
  <c r="T11" i="59"/>
  <c r="U11" i="59"/>
  <c r="Z11" i="59"/>
  <c r="X11" i="59"/>
  <c r="W11" i="59"/>
  <c r="V11" i="59" l="1"/>
  <c r="Y11" i="59" s="1"/>
  <c r="K3" i="52" l="1"/>
  <c r="J3" i="52"/>
  <c r="U6" i="59" l="1"/>
  <c r="T10" i="59"/>
  <c r="T9" i="59"/>
  <c r="T8" i="59"/>
  <c r="T7" i="59"/>
  <c r="T6" i="59"/>
  <c r="T5" i="59"/>
  <c r="T4" i="59"/>
  <c r="T3" i="59"/>
  <c r="W3" i="59"/>
  <c r="W4" i="59"/>
  <c r="W5" i="59"/>
  <c r="W6" i="59"/>
  <c r="W7" i="59"/>
  <c r="W8" i="59"/>
  <c r="W9" i="59"/>
  <c r="W10" i="59"/>
  <c r="F3" i="59"/>
  <c r="G3" i="59"/>
  <c r="H3" i="59"/>
  <c r="I3" i="59"/>
  <c r="J3" i="59"/>
  <c r="K3" i="59"/>
  <c r="L3" i="59"/>
  <c r="M3" i="59"/>
  <c r="N3" i="59"/>
  <c r="O3" i="59"/>
  <c r="P3" i="59"/>
  <c r="Q3" i="59"/>
  <c r="R3" i="59"/>
  <c r="U3" i="59"/>
  <c r="E4" i="59"/>
  <c r="F4" i="59"/>
  <c r="G4" i="59"/>
  <c r="H4" i="59"/>
  <c r="I4" i="59"/>
  <c r="J4" i="59"/>
  <c r="K4" i="59"/>
  <c r="L4" i="59"/>
  <c r="M4" i="59"/>
  <c r="N4" i="59"/>
  <c r="O4" i="59"/>
  <c r="P4" i="59"/>
  <c r="Q4" i="59"/>
  <c r="R4" i="59"/>
  <c r="U4" i="59"/>
  <c r="E5" i="59"/>
  <c r="F5" i="59"/>
  <c r="G5" i="59"/>
  <c r="H5" i="59"/>
  <c r="I5" i="59"/>
  <c r="J5" i="59"/>
  <c r="K5" i="59"/>
  <c r="L5" i="59"/>
  <c r="M5" i="59"/>
  <c r="N5" i="59"/>
  <c r="O5" i="59"/>
  <c r="P5" i="59"/>
  <c r="Q5" i="59"/>
  <c r="R5" i="59"/>
  <c r="U5" i="59"/>
  <c r="E6" i="59"/>
  <c r="F6" i="59"/>
  <c r="G6" i="59"/>
  <c r="H6" i="59"/>
  <c r="I6" i="59"/>
  <c r="J6" i="59"/>
  <c r="K6" i="59"/>
  <c r="L6" i="59"/>
  <c r="M6" i="59"/>
  <c r="N6" i="59"/>
  <c r="O6" i="59"/>
  <c r="P6" i="59"/>
  <c r="Q6" i="59"/>
  <c r="R6" i="59"/>
  <c r="E7" i="59"/>
  <c r="F7" i="59"/>
  <c r="G7" i="59"/>
  <c r="H7" i="59"/>
  <c r="I7" i="59"/>
  <c r="J7" i="59"/>
  <c r="K7" i="59"/>
  <c r="L7" i="59"/>
  <c r="M7" i="59"/>
  <c r="N7" i="59"/>
  <c r="O7" i="59"/>
  <c r="P7" i="59"/>
  <c r="Q7" i="59"/>
  <c r="R7" i="59"/>
  <c r="U7" i="59"/>
  <c r="E8" i="59"/>
  <c r="F8" i="59"/>
  <c r="G8" i="59"/>
  <c r="H8" i="59"/>
  <c r="I8" i="59"/>
  <c r="J8" i="59"/>
  <c r="K8" i="59"/>
  <c r="L8" i="59"/>
  <c r="M8" i="59"/>
  <c r="N8" i="59"/>
  <c r="O8" i="59"/>
  <c r="P8" i="59"/>
  <c r="Q8" i="59"/>
  <c r="R8" i="59"/>
  <c r="U8" i="59"/>
  <c r="E9" i="59"/>
  <c r="F9" i="59"/>
  <c r="G9" i="59"/>
  <c r="H9" i="59"/>
  <c r="I9" i="59"/>
  <c r="J9" i="59"/>
  <c r="K9" i="59"/>
  <c r="L9" i="59"/>
  <c r="M9" i="59"/>
  <c r="N9" i="59"/>
  <c r="O9" i="59"/>
  <c r="P9" i="59"/>
  <c r="Q9" i="59"/>
  <c r="R9" i="59"/>
  <c r="U9" i="59"/>
  <c r="E10" i="59"/>
  <c r="F10" i="59"/>
  <c r="G10" i="59"/>
  <c r="H10" i="59"/>
  <c r="I10" i="59"/>
  <c r="J10" i="59"/>
  <c r="K10" i="59"/>
  <c r="L10" i="59"/>
  <c r="M10" i="59"/>
  <c r="N10" i="59"/>
  <c r="O10" i="59"/>
  <c r="P10" i="59"/>
  <c r="Q10" i="59"/>
  <c r="R10" i="59"/>
  <c r="U10" i="59"/>
  <c r="D55" i="59"/>
  <c r="W55" i="59" s="1"/>
  <c r="D54" i="59"/>
  <c r="L54" i="59" s="1"/>
  <c r="D53" i="59"/>
  <c r="Q53" i="59" s="1"/>
  <c r="D52" i="59"/>
  <c r="L52" i="59" s="1"/>
  <c r="J51" i="59"/>
  <c r="G51" i="59"/>
  <c r="D51" i="59"/>
  <c r="Q51" i="59" s="1"/>
  <c r="D50" i="59"/>
  <c r="X50" i="59" s="1"/>
  <c r="D49" i="59"/>
  <c r="U49" i="59" s="1"/>
  <c r="D48" i="59"/>
  <c r="L48" i="59" s="1"/>
  <c r="D47" i="59"/>
  <c r="W47" i="59" s="1"/>
  <c r="D46" i="59"/>
  <c r="R46" i="59" s="1"/>
  <c r="D45" i="59"/>
  <c r="O45" i="59" s="1"/>
  <c r="X9" i="59"/>
  <c r="U48" i="59" l="1"/>
  <c r="X51" i="59"/>
  <c r="T49" i="59"/>
  <c r="T50" i="59"/>
  <c r="T51" i="59"/>
  <c r="T52" i="59"/>
  <c r="T45" i="59"/>
  <c r="T53" i="59"/>
  <c r="F51" i="59"/>
  <c r="T46" i="59"/>
  <c r="T54" i="59"/>
  <c r="T47" i="59"/>
  <c r="T55" i="59"/>
  <c r="T48" i="59"/>
  <c r="T15" i="59"/>
  <c r="N55" i="59"/>
  <c r="R48" i="59"/>
  <c r="N51" i="59"/>
  <c r="F48" i="59"/>
  <c r="K55" i="59"/>
  <c r="G48" i="59"/>
  <c r="H48" i="59"/>
  <c r="I48" i="59"/>
  <c r="J48" i="59"/>
  <c r="G50" i="59"/>
  <c r="U46" i="59"/>
  <c r="O48" i="59"/>
  <c r="H50" i="59"/>
  <c r="P48" i="59"/>
  <c r="Q48" i="59"/>
  <c r="U54" i="59"/>
  <c r="P45" i="59"/>
  <c r="G47" i="59"/>
  <c r="U47" i="59"/>
  <c r="N52" i="59"/>
  <c r="Q45" i="59"/>
  <c r="H47" i="59"/>
  <c r="X47" i="59"/>
  <c r="K50" i="59"/>
  <c r="I45" i="59"/>
  <c r="F47" i="59"/>
  <c r="R47" i="59"/>
  <c r="E52" i="59"/>
  <c r="O52" i="59"/>
  <c r="E54" i="59"/>
  <c r="W54" i="59"/>
  <c r="Z45" i="59"/>
  <c r="J47" i="59"/>
  <c r="Z47" i="59"/>
  <c r="K48" i="59"/>
  <c r="W48" i="59"/>
  <c r="O50" i="59"/>
  <c r="K51" i="59"/>
  <c r="F52" i="59"/>
  <c r="Q52" i="59"/>
  <c r="G54" i="59"/>
  <c r="Z54" i="59"/>
  <c r="O55" i="59"/>
  <c r="K47" i="59"/>
  <c r="P55" i="59"/>
  <c r="M48" i="59"/>
  <c r="X48" i="59"/>
  <c r="P50" i="59"/>
  <c r="G52" i="59"/>
  <c r="R52" i="59"/>
  <c r="H54" i="59"/>
  <c r="K46" i="59"/>
  <c r="N47" i="59"/>
  <c r="E48" i="59"/>
  <c r="N48" i="59"/>
  <c r="Z48" i="59"/>
  <c r="U50" i="59"/>
  <c r="O51" i="59"/>
  <c r="I52" i="59"/>
  <c r="U52" i="59"/>
  <c r="K54" i="59"/>
  <c r="F55" i="59"/>
  <c r="R55" i="59"/>
  <c r="O47" i="59"/>
  <c r="Z50" i="59"/>
  <c r="R51" i="59"/>
  <c r="J52" i="59"/>
  <c r="W52" i="59"/>
  <c r="M54" i="59"/>
  <c r="G55" i="59"/>
  <c r="U55" i="59"/>
  <c r="U51" i="59"/>
  <c r="K52" i="59"/>
  <c r="X52" i="59"/>
  <c r="O54" i="59"/>
  <c r="H55" i="59"/>
  <c r="X55" i="59"/>
  <c r="H45" i="59"/>
  <c r="P47" i="59"/>
  <c r="M52" i="59"/>
  <c r="P54" i="59"/>
  <c r="J55" i="59"/>
  <c r="Z55" i="59"/>
  <c r="E49" i="59"/>
  <c r="M49" i="59"/>
  <c r="W49" i="59"/>
  <c r="J45" i="59"/>
  <c r="R45" i="59"/>
  <c r="E46" i="59"/>
  <c r="M46" i="59"/>
  <c r="W46" i="59"/>
  <c r="J53" i="59"/>
  <c r="R53" i="59"/>
  <c r="L49" i="59"/>
  <c r="F49" i="59"/>
  <c r="N49" i="59"/>
  <c r="X49" i="59"/>
  <c r="I50" i="59"/>
  <c r="Q50" i="59"/>
  <c r="L51" i="59"/>
  <c r="K45" i="59"/>
  <c r="U45" i="59"/>
  <c r="F46" i="59"/>
  <c r="N46" i="59"/>
  <c r="X46" i="59"/>
  <c r="I47" i="59"/>
  <c r="Q47" i="59"/>
  <c r="G49" i="59"/>
  <c r="O49" i="59"/>
  <c r="J50" i="59"/>
  <c r="R50" i="59"/>
  <c r="E51" i="59"/>
  <c r="M51" i="59"/>
  <c r="W51" i="59"/>
  <c r="H52" i="59"/>
  <c r="P52" i="59"/>
  <c r="Z52" i="59"/>
  <c r="K53" i="59"/>
  <c r="U53" i="59"/>
  <c r="F54" i="59"/>
  <c r="N54" i="59"/>
  <c r="X54" i="59"/>
  <c r="I55" i="59"/>
  <c r="Q55" i="59"/>
  <c r="H49" i="59"/>
  <c r="P49" i="59"/>
  <c r="Z49" i="59"/>
  <c r="L53" i="59"/>
  <c r="L46" i="59"/>
  <c r="I49" i="59"/>
  <c r="Q49" i="59"/>
  <c r="L50" i="59"/>
  <c r="E45" i="59"/>
  <c r="M45" i="59"/>
  <c r="W45" i="59"/>
  <c r="H46" i="59"/>
  <c r="P46" i="59"/>
  <c r="Z46" i="59"/>
  <c r="J49" i="59"/>
  <c r="R49" i="59"/>
  <c r="E50" i="59"/>
  <c r="M50" i="59"/>
  <c r="W50" i="59"/>
  <c r="H51" i="59"/>
  <c r="P51" i="59"/>
  <c r="Z51" i="59"/>
  <c r="F53" i="59"/>
  <c r="N53" i="59"/>
  <c r="X53" i="59"/>
  <c r="I54" i="59"/>
  <c r="Q54" i="59"/>
  <c r="L55" i="59"/>
  <c r="L45" i="59"/>
  <c r="G46" i="59"/>
  <c r="O46" i="59"/>
  <c r="E53" i="59"/>
  <c r="M53" i="59"/>
  <c r="W53" i="59"/>
  <c r="F45" i="59"/>
  <c r="N45" i="59"/>
  <c r="X45" i="59"/>
  <c r="I46" i="59"/>
  <c r="Q46" i="59"/>
  <c r="L47" i="59"/>
  <c r="G45" i="59"/>
  <c r="J46" i="59"/>
  <c r="E47" i="59"/>
  <c r="M47" i="59"/>
  <c r="K49" i="59"/>
  <c r="F50" i="59"/>
  <c r="N50" i="59"/>
  <c r="I51" i="59"/>
  <c r="G53" i="59"/>
  <c r="O53" i="59"/>
  <c r="J54" i="59"/>
  <c r="R54" i="59"/>
  <c r="E55" i="59"/>
  <c r="M55" i="59"/>
  <c r="H53" i="59"/>
  <c r="P53" i="59"/>
  <c r="Z53" i="59"/>
  <c r="I53" i="59"/>
  <c r="Z9" i="59"/>
  <c r="B3" i="60"/>
  <c r="T56" i="59" l="1"/>
  <c r="K56" i="59"/>
  <c r="V48" i="59"/>
  <c r="Y48" i="59" s="1"/>
  <c r="U56" i="59"/>
  <c r="V52" i="59"/>
  <c r="Y52" i="59" s="1"/>
  <c r="P56" i="59"/>
  <c r="F56" i="59"/>
  <c r="H56" i="59"/>
  <c r="O56" i="59"/>
  <c r="L56" i="59"/>
  <c r="R56" i="59"/>
  <c r="G56" i="59"/>
  <c r="M56" i="59"/>
  <c r="J56" i="59"/>
  <c r="Q56" i="59"/>
  <c r="I56" i="59"/>
  <c r="V54" i="59"/>
  <c r="Y54" i="59" s="1"/>
  <c r="N56" i="59"/>
  <c r="V51" i="59"/>
  <c r="Y51" i="59" s="1"/>
  <c r="V50" i="59"/>
  <c r="Y50" i="59" s="1"/>
  <c r="V45" i="59"/>
  <c r="Y45" i="59" s="1"/>
  <c r="V46" i="59"/>
  <c r="Y46" i="59" s="1"/>
  <c r="V53" i="59"/>
  <c r="Y53" i="59" s="1"/>
  <c r="E56" i="59"/>
  <c r="V55" i="59"/>
  <c r="Y55" i="59" s="1"/>
  <c r="V49" i="59"/>
  <c r="Y49" i="59" s="1"/>
  <c r="V47" i="59"/>
  <c r="Y47" i="59" s="1"/>
  <c r="V9" i="59"/>
  <c r="Y9" i="59" s="1"/>
  <c r="I3" i="60" l="1"/>
  <c r="Z24" i="59" l="1"/>
  <c r="X5" i="59" l="1"/>
  <c r="Z4" i="59"/>
  <c r="X3" i="59" l="1"/>
  <c r="X10" i="59"/>
  <c r="X4" i="59"/>
  <c r="Z10" i="59"/>
  <c r="Z8" i="59"/>
  <c r="Z3" i="59"/>
  <c r="X8" i="59"/>
  <c r="Z7" i="59"/>
  <c r="X7" i="59"/>
  <c r="Z6" i="59"/>
  <c r="X6" i="59"/>
  <c r="Z5" i="59"/>
  <c r="X32" i="59"/>
  <c r="O15" i="59" l="1"/>
  <c r="I15" i="59"/>
  <c r="G15" i="59"/>
  <c r="L15" i="59"/>
  <c r="K15" i="59"/>
  <c r="J15" i="59"/>
  <c r="F15" i="59"/>
  <c r="H15" i="59"/>
  <c r="U15" i="59"/>
  <c r="R15" i="59"/>
  <c r="N15" i="59"/>
  <c r="M15" i="59"/>
  <c r="Q15" i="59"/>
  <c r="E15" i="59"/>
  <c r="P15" i="59"/>
  <c r="X33" i="59"/>
  <c r="X26" i="59"/>
  <c r="X28" i="59"/>
  <c r="X29" i="59"/>
  <c r="X36" i="59"/>
  <c r="Y37" i="59"/>
  <c r="Y29" i="59"/>
  <c r="Y26" i="59"/>
  <c r="Y31" i="59"/>
  <c r="Y35" i="59"/>
  <c r="Y27" i="59"/>
  <c r="Y34" i="59"/>
  <c r="Y39" i="59"/>
  <c r="Y36" i="59"/>
  <c r="Y28" i="59"/>
  <c r="Y40" i="59"/>
  <c r="Y33" i="59"/>
  <c r="Y38" i="59"/>
  <c r="Y30" i="59"/>
  <c r="Y32" i="59"/>
  <c r="Z34" i="59"/>
  <c r="Z26" i="59"/>
  <c r="Z36" i="59"/>
  <c r="Z33" i="59"/>
  <c r="Z37" i="59"/>
  <c r="Z39" i="59"/>
  <c r="Z31" i="59"/>
  <c r="Z28" i="59"/>
  <c r="Z29" i="59"/>
  <c r="Z38" i="59"/>
  <c r="Z30" i="59"/>
  <c r="Z35" i="59"/>
  <c r="Z27" i="59"/>
  <c r="Z40" i="59"/>
  <c r="Z32" i="59"/>
  <c r="X30" i="59"/>
  <c r="X40" i="59"/>
  <c r="X31" i="59"/>
  <c r="X27" i="59"/>
  <c r="X34" i="59"/>
  <c r="X35" i="59"/>
  <c r="X37" i="59"/>
  <c r="X38" i="59"/>
  <c r="X39" i="59"/>
  <c r="V10" i="59"/>
  <c r="Y10" i="59" s="1"/>
  <c r="V3" i="59"/>
  <c r="Y3" i="59" s="1"/>
  <c r="V4" i="59"/>
  <c r="Y4" i="59" s="1"/>
  <c r="V7" i="59"/>
  <c r="Y7" i="59" s="1"/>
  <c r="V5" i="59"/>
  <c r="Y5" i="59" s="1"/>
  <c r="V6" i="59"/>
  <c r="Y6" i="59" s="1"/>
  <c r="V8" i="59"/>
  <c r="Y8" i="59" s="1"/>
  <c r="Y41" i="59" l="1"/>
  <c r="Z41" i="59"/>
  <c r="X41" i="59"/>
  <c r="I33" i="51" l="1"/>
  <c r="K31" i="51"/>
  <c r="J31" i="51"/>
  <c r="I31" i="51"/>
  <c r="L33" i="51" l="1"/>
  <c r="K33" i="51"/>
  <c r="J33" i="51"/>
  <c r="O31" i="51" l="1"/>
  <c r="I36" i="51"/>
  <c r="K35" i="51"/>
  <c r="K36" i="51" s="1"/>
  <c r="N31" i="51"/>
  <c r="I35" i="51"/>
  <c r="N36" i="51" s="1"/>
  <c r="N35" i="51"/>
  <c r="N33" i="51" l="1"/>
  <c r="C35" i="51"/>
  <c r="E35" i="51"/>
  <c r="N34" i="5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BA6CB9-F44E-40B2-AFC0-4FD0A2622D8D}" keepAlive="1" name="クエリ - 【KPI】キントーン (2)" description="ブック内の '【KPI】キントーン (2)' クエリへの接続です。" type="5" refreshedVersion="6" background="1" saveData="1">
    <dbPr connection="Provider=Microsoft.Mashup.OleDb.1;Data Source=$Workbook$;Location=【KPI】キントーン (2);Extended Properties=&quot;&quot;" command="SELECT * FROM [【KPI】キントーン (2)]"/>
  </connection>
</connections>
</file>

<file path=xl/sharedStrings.xml><?xml version="1.0" encoding="utf-8"?>
<sst xmlns="http://schemas.openxmlformats.org/spreadsheetml/2006/main" count="1113" uniqueCount="757">
  <si>
    <t>有効</t>
    <rPh sb="0" eb="2">
      <t>ユウコウ</t>
    </rPh>
    <phoneticPr fontId="22"/>
  </si>
  <si>
    <t>要改善</t>
    <rPh sb="0" eb="1">
      <t>ヨウ</t>
    </rPh>
    <rPh sb="1" eb="3">
      <t>カイゼン</t>
    </rPh>
    <phoneticPr fontId="22"/>
  </si>
  <si>
    <t>経過観察中</t>
    <rPh sb="0" eb="2">
      <t>ケイカ</t>
    </rPh>
    <rPh sb="2" eb="4">
      <t>カンサツ</t>
    </rPh>
    <rPh sb="4" eb="5">
      <t>チュウ</t>
    </rPh>
    <phoneticPr fontId="22"/>
  </si>
  <si>
    <t>完了</t>
    <rPh sb="0" eb="2">
      <t>カンリョウ</t>
    </rPh>
    <phoneticPr fontId="22"/>
  </si>
  <si>
    <t>8月度</t>
    <rPh sb="1" eb="2">
      <t>ガツ</t>
    </rPh>
    <rPh sb="2" eb="3">
      <t>ド</t>
    </rPh>
    <phoneticPr fontId="22"/>
  </si>
  <si>
    <t>身体的</t>
    <rPh sb="0" eb="3">
      <t>シンタイテキ</t>
    </rPh>
    <phoneticPr fontId="26"/>
  </si>
  <si>
    <t>金銭的</t>
    <rPh sb="0" eb="3">
      <t>キンセンテキ</t>
    </rPh>
    <phoneticPr fontId="26"/>
  </si>
  <si>
    <t>個人情報</t>
    <rPh sb="0" eb="2">
      <t>コジン</t>
    </rPh>
    <rPh sb="2" eb="4">
      <t>ジョウホウ</t>
    </rPh>
    <phoneticPr fontId="26"/>
  </si>
  <si>
    <t>信用度</t>
    <rPh sb="0" eb="2">
      <t>シンヨウ</t>
    </rPh>
    <rPh sb="2" eb="3">
      <t>ド</t>
    </rPh>
    <phoneticPr fontId="26"/>
  </si>
  <si>
    <t>リスク評価基準（対策の必要性度判定基準）</t>
    <rPh sb="3" eb="5">
      <t>ヒョウカ</t>
    </rPh>
    <rPh sb="5" eb="7">
      <t>キジュン</t>
    </rPh>
    <rPh sb="8" eb="10">
      <t>タイサク</t>
    </rPh>
    <rPh sb="11" eb="14">
      <t>ヒツヨウセイ</t>
    </rPh>
    <rPh sb="14" eb="15">
      <t>ド</t>
    </rPh>
    <rPh sb="15" eb="17">
      <t>ハンテイ</t>
    </rPh>
    <rPh sb="17" eb="19">
      <t>キジュン</t>
    </rPh>
    <phoneticPr fontId="26"/>
  </si>
  <si>
    <t>影響度と頻度の５段階評価</t>
    <rPh sb="0" eb="3">
      <t>エイキョウド</t>
    </rPh>
    <rPh sb="4" eb="6">
      <t>ヒンド</t>
    </rPh>
    <rPh sb="8" eb="10">
      <t>ダンカイ</t>
    </rPh>
    <rPh sb="10" eb="12">
      <t>ヒョウカ</t>
    </rPh>
    <phoneticPr fontId="26"/>
  </si>
  <si>
    <t>対策する必要性度判定</t>
    <rPh sb="0" eb="2">
      <t>タイサク</t>
    </rPh>
    <rPh sb="4" eb="6">
      <t>ヒツヨウ</t>
    </rPh>
    <rPh sb="6" eb="7">
      <t>セイ</t>
    </rPh>
    <rPh sb="7" eb="8">
      <t>ド</t>
    </rPh>
    <rPh sb="8" eb="10">
      <t>ハンテイ</t>
    </rPh>
    <phoneticPr fontId="26"/>
  </si>
  <si>
    <t>段階</t>
    <rPh sb="0" eb="2">
      <t>ダンカイ</t>
    </rPh>
    <phoneticPr fontId="26"/>
  </si>
  <si>
    <t>影響度</t>
    <rPh sb="0" eb="2">
      <t>エイキョウ</t>
    </rPh>
    <rPh sb="2" eb="3">
      <t>ド</t>
    </rPh>
    <phoneticPr fontId="26"/>
  </si>
  <si>
    <t>発生頻度</t>
    <rPh sb="0" eb="2">
      <t>ハッセイ</t>
    </rPh>
    <rPh sb="2" eb="4">
      <t>ヒンド</t>
    </rPh>
    <phoneticPr fontId="26"/>
  </si>
  <si>
    <t>影響軸</t>
    <rPh sb="0" eb="2">
      <t>エイキョウ</t>
    </rPh>
    <rPh sb="2" eb="3">
      <t>ジク</t>
    </rPh>
    <phoneticPr fontId="26"/>
  </si>
  <si>
    <t>負傷しない</t>
    <rPh sb="0" eb="2">
      <t>フショウ</t>
    </rPh>
    <phoneticPr fontId="26"/>
  </si>
  <si>
    <t>１０万円以下</t>
    <rPh sb="2" eb="4">
      <t>マンエン</t>
    </rPh>
    <rPh sb="4" eb="6">
      <t>イカ</t>
    </rPh>
    <phoneticPr fontId="26"/>
  </si>
  <si>
    <t>5人以下</t>
    <rPh sb="1" eb="2">
      <t>ニン</t>
    </rPh>
    <rPh sb="2" eb="4">
      <t>イカ</t>
    </rPh>
    <phoneticPr fontId="26"/>
  </si>
  <si>
    <t>売上にほぼ影響なし</t>
    <rPh sb="0" eb="2">
      <t>ウリアゲ</t>
    </rPh>
    <rPh sb="5" eb="7">
      <t>エイキョウ</t>
    </rPh>
    <phoneticPr fontId="26"/>
  </si>
  <si>
    <t>例外的な状況でのみ発生する</t>
    <rPh sb="0" eb="3">
      <t>レイガイテキ</t>
    </rPh>
    <rPh sb="4" eb="6">
      <t>ジョウキョウ</t>
    </rPh>
    <rPh sb="9" eb="11">
      <t>ハッセイ</t>
    </rPh>
    <phoneticPr fontId="26"/>
  </si>
  <si>
    <t>１０年超で１回以上</t>
    <rPh sb="2" eb="3">
      <t>ネン</t>
    </rPh>
    <rPh sb="3" eb="4">
      <t>チョウ</t>
    </rPh>
    <rPh sb="6" eb="9">
      <t>カイイジョウ</t>
    </rPh>
    <phoneticPr fontId="26"/>
  </si>
  <si>
    <t>重要</t>
    <rPh sb="0" eb="2">
      <t>ジュウヨウ</t>
    </rPh>
    <phoneticPr fontId="26"/>
  </si>
  <si>
    <t>救急処置</t>
    <rPh sb="0" eb="2">
      <t>キュウキュウ</t>
    </rPh>
    <rPh sb="2" eb="4">
      <t>ショチ</t>
    </rPh>
    <phoneticPr fontId="26"/>
  </si>
  <si>
    <t>１００万円以下</t>
    <rPh sb="3" eb="5">
      <t>マンエン</t>
    </rPh>
    <rPh sb="5" eb="7">
      <t>イカ</t>
    </rPh>
    <phoneticPr fontId="26"/>
  </si>
  <si>
    <t>6人以上、20人以下</t>
    <rPh sb="1" eb="2">
      <t>ニン</t>
    </rPh>
    <rPh sb="2" eb="4">
      <t>イジョウ</t>
    </rPh>
    <rPh sb="7" eb="8">
      <t>ニン</t>
    </rPh>
    <rPh sb="8" eb="10">
      <t>イカ</t>
    </rPh>
    <phoneticPr fontId="26"/>
  </si>
  <si>
    <t>多少の影響</t>
    <rPh sb="0" eb="2">
      <t>タショウ</t>
    </rPh>
    <rPh sb="3" eb="5">
      <t>エイキョウ</t>
    </rPh>
    <phoneticPr fontId="26"/>
  </si>
  <si>
    <t>いつかは発生する可能性がある</t>
    <rPh sb="4" eb="6">
      <t>ハッセイ</t>
    </rPh>
    <rPh sb="8" eb="11">
      <t>カノウセイ</t>
    </rPh>
    <phoneticPr fontId="26"/>
  </si>
  <si>
    <t>１０年に１回以上</t>
    <rPh sb="2" eb="3">
      <t>ネン</t>
    </rPh>
    <rPh sb="5" eb="6">
      <t>カイ</t>
    </rPh>
    <rPh sb="6" eb="8">
      <t>イジョウ</t>
    </rPh>
    <phoneticPr fontId="26"/>
  </si>
  <si>
    <t>高</t>
    <rPh sb="0" eb="1">
      <t>コウ</t>
    </rPh>
    <phoneticPr fontId="26"/>
  </si>
  <si>
    <t>治療が必要</t>
    <rPh sb="0" eb="2">
      <t>チリョウ</t>
    </rPh>
    <rPh sb="3" eb="5">
      <t>ヒツヨウ</t>
    </rPh>
    <phoneticPr fontId="26"/>
  </si>
  <si>
    <t>１０００万円以下</t>
    <rPh sb="4" eb="6">
      <t>マンエン</t>
    </rPh>
    <rPh sb="6" eb="8">
      <t>イカ</t>
    </rPh>
    <phoneticPr fontId="26"/>
  </si>
  <si>
    <t>21人以上、999人以下</t>
    <rPh sb="2" eb="3">
      <t>ニン</t>
    </rPh>
    <rPh sb="3" eb="5">
      <t>イジョウ</t>
    </rPh>
    <rPh sb="9" eb="10">
      <t>ニン</t>
    </rPh>
    <rPh sb="10" eb="12">
      <t>イカ</t>
    </rPh>
    <phoneticPr fontId="26"/>
  </si>
  <si>
    <t>数か月にわたる売上の影響</t>
    <rPh sb="0" eb="1">
      <t>スウ</t>
    </rPh>
    <rPh sb="2" eb="3">
      <t>ゲツ</t>
    </rPh>
    <rPh sb="7" eb="9">
      <t>ウリアゲ</t>
    </rPh>
    <rPh sb="10" eb="12">
      <t>エイキョウ</t>
    </rPh>
    <phoneticPr fontId="26"/>
  </si>
  <si>
    <t>いつかは発生する</t>
    <rPh sb="4" eb="6">
      <t>ハッセイ</t>
    </rPh>
    <phoneticPr fontId="26"/>
  </si>
  <si>
    <t>１年に１回以上</t>
    <rPh sb="1" eb="2">
      <t>ネン</t>
    </rPh>
    <rPh sb="4" eb="5">
      <t>カイ</t>
    </rPh>
    <rPh sb="5" eb="7">
      <t>イジョウ</t>
    </rPh>
    <phoneticPr fontId="26"/>
  </si>
  <si>
    <t>中</t>
    <rPh sb="0" eb="1">
      <t>チュウ</t>
    </rPh>
    <phoneticPr fontId="26"/>
  </si>
  <si>
    <t>多数の負傷者</t>
    <rPh sb="0" eb="2">
      <t>タスウ</t>
    </rPh>
    <rPh sb="3" eb="6">
      <t>フショウシャ</t>
    </rPh>
    <phoneticPr fontId="26"/>
  </si>
  <si>
    <t>１億円以下</t>
    <rPh sb="1" eb="3">
      <t>オクエン</t>
    </rPh>
    <rPh sb="3" eb="5">
      <t>イカ</t>
    </rPh>
    <phoneticPr fontId="26"/>
  </si>
  <si>
    <t>1000人以上、4999人以下</t>
    <rPh sb="4" eb="5">
      <t>ニン</t>
    </rPh>
    <rPh sb="5" eb="7">
      <t>イジョウ</t>
    </rPh>
    <rPh sb="12" eb="13">
      <t>ニン</t>
    </rPh>
    <rPh sb="13" eb="15">
      <t>イカ</t>
    </rPh>
    <phoneticPr fontId="26"/>
  </si>
  <si>
    <t>長期にわたる売上の影響、減少後回復しない</t>
    <rPh sb="0" eb="2">
      <t>チョウキ</t>
    </rPh>
    <rPh sb="6" eb="8">
      <t>ウリアゲ</t>
    </rPh>
    <rPh sb="9" eb="11">
      <t>エイキョウ</t>
    </rPh>
    <rPh sb="12" eb="14">
      <t>ゲンショウ</t>
    </rPh>
    <rPh sb="14" eb="15">
      <t>ゴ</t>
    </rPh>
    <rPh sb="15" eb="17">
      <t>カイフク</t>
    </rPh>
    <phoneticPr fontId="26"/>
  </si>
  <si>
    <t>発生の可能性がある</t>
    <rPh sb="0" eb="2">
      <t>ハッセイ</t>
    </rPh>
    <rPh sb="3" eb="6">
      <t>カノウセイ</t>
    </rPh>
    <phoneticPr fontId="26"/>
  </si>
  <si>
    <t>半年に１回以上</t>
    <rPh sb="0" eb="2">
      <t>ハントシ</t>
    </rPh>
    <rPh sb="4" eb="5">
      <t>カイ</t>
    </rPh>
    <rPh sb="5" eb="7">
      <t>イジョウ</t>
    </rPh>
    <phoneticPr fontId="26"/>
  </si>
  <si>
    <t>低</t>
    <rPh sb="0" eb="1">
      <t>テイ</t>
    </rPh>
    <phoneticPr fontId="26"/>
  </si>
  <si>
    <t>死亡</t>
    <rPh sb="0" eb="2">
      <t>シボウ</t>
    </rPh>
    <phoneticPr fontId="26"/>
  </si>
  <si>
    <t>１億円超</t>
    <rPh sb="1" eb="3">
      <t>オクエン</t>
    </rPh>
    <rPh sb="3" eb="4">
      <t>チョウ</t>
    </rPh>
    <phoneticPr fontId="26"/>
  </si>
  <si>
    <t>5000人以上</t>
    <rPh sb="4" eb="5">
      <t>ニン</t>
    </rPh>
    <rPh sb="5" eb="7">
      <t>イジョウ</t>
    </rPh>
    <phoneticPr fontId="26"/>
  </si>
  <si>
    <t>会社存続の危機</t>
    <rPh sb="0" eb="2">
      <t>カイシャ</t>
    </rPh>
    <rPh sb="2" eb="4">
      <t>ソンゾク</t>
    </rPh>
    <rPh sb="5" eb="7">
      <t>キキ</t>
    </rPh>
    <phoneticPr fontId="26"/>
  </si>
  <si>
    <t>ほぼ確実に発生する</t>
    <rPh sb="2" eb="4">
      <t>カクジツ</t>
    </rPh>
    <rPh sb="5" eb="7">
      <t>ハッセイ</t>
    </rPh>
    <phoneticPr fontId="26"/>
  </si>
  <si>
    <t>１月に１回以上</t>
    <rPh sb="1" eb="2">
      <t>ツキ</t>
    </rPh>
    <rPh sb="4" eb="5">
      <t>カイ</t>
    </rPh>
    <rPh sb="5" eb="7">
      <t>イジョウ</t>
    </rPh>
    <phoneticPr fontId="26"/>
  </si>
  <si>
    <t>頻度軸</t>
    <rPh sb="0" eb="2">
      <t>ヒンド</t>
    </rPh>
    <rPh sb="2" eb="3">
      <t>ジク</t>
    </rPh>
    <phoneticPr fontId="26"/>
  </si>
  <si>
    <t>リスクレベル</t>
    <phoneticPr fontId="26"/>
  </si>
  <si>
    <t>対策の概要</t>
    <rPh sb="0" eb="2">
      <t>タイサク</t>
    </rPh>
    <rPh sb="3" eb="5">
      <t>ガイヨウ</t>
    </rPh>
    <phoneticPr fontId="26"/>
  </si>
  <si>
    <t>対応方針</t>
    <rPh sb="0" eb="2">
      <t>タイオウ</t>
    </rPh>
    <rPh sb="2" eb="4">
      <t>ホウシン</t>
    </rPh>
    <phoneticPr fontId="26"/>
  </si>
  <si>
    <t>対策</t>
    <rPh sb="0" eb="2">
      <t>タイサク</t>
    </rPh>
    <phoneticPr fontId="26"/>
  </si>
  <si>
    <t>内容</t>
    <rPh sb="0" eb="2">
      <t>ナイヨウ</t>
    </rPh>
    <phoneticPr fontId="26"/>
  </si>
  <si>
    <t>詳細な調査を行い、管理計画を作成して対応をする。</t>
    <rPh sb="0" eb="2">
      <t>ショウサイ</t>
    </rPh>
    <rPh sb="3" eb="5">
      <t>チョウサ</t>
    </rPh>
    <rPh sb="6" eb="7">
      <t>オコナ</t>
    </rPh>
    <rPh sb="9" eb="11">
      <t>カンリ</t>
    </rPh>
    <rPh sb="11" eb="13">
      <t>ケイカク</t>
    </rPh>
    <rPh sb="14" eb="16">
      <t>サクセイ</t>
    </rPh>
    <rPh sb="18" eb="20">
      <t>タイオウ</t>
    </rPh>
    <phoneticPr fontId="26"/>
  </si>
  <si>
    <t>回避</t>
    <rPh sb="0" eb="2">
      <t>カイヒ</t>
    </rPh>
    <phoneticPr fontId="26"/>
  </si>
  <si>
    <t>損害の程度を下げるか、発生頻度を下げる。
あるいは事業そのものを止めてしまう。</t>
    <rPh sb="0" eb="2">
      <t>ソンガイ</t>
    </rPh>
    <rPh sb="3" eb="5">
      <t>テイド</t>
    </rPh>
    <rPh sb="6" eb="7">
      <t>サ</t>
    </rPh>
    <rPh sb="11" eb="13">
      <t>ハッセイ</t>
    </rPh>
    <rPh sb="13" eb="15">
      <t>ヒンド</t>
    </rPh>
    <rPh sb="16" eb="17">
      <t>サ</t>
    </rPh>
    <rPh sb="25" eb="27">
      <t>ジギョウ</t>
    </rPh>
    <rPh sb="32" eb="33">
      <t>ヤ</t>
    </rPh>
    <phoneticPr fontId="26"/>
  </si>
  <si>
    <t>リスクの動向に注視する。</t>
    <rPh sb="4" eb="6">
      <t>ドウコウ</t>
    </rPh>
    <rPh sb="7" eb="9">
      <t>チュウシ</t>
    </rPh>
    <phoneticPr fontId="26"/>
  </si>
  <si>
    <t>低減</t>
    <rPh sb="0" eb="2">
      <t>テイゲン</t>
    </rPh>
    <phoneticPr fontId="26"/>
  </si>
  <si>
    <t>損害の程度を下げるか、発生頻度を下げる。</t>
    <phoneticPr fontId="26"/>
  </si>
  <si>
    <t>管理責任者を任命する。</t>
    <rPh sb="0" eb="2">
      <t>カンリ</t>
    </rPh>
    <rPh sb="2" eb="4">
      <t>セキニン</t>
    </rPh>
    <rPh sb="4" eb="5">
      <t>シャ</t>
    </rPh>
    <rPh sb="6" eb="8">
      <t>ニンメイ</t>
    </rPh>
    <phoneticPr fontId="26"/>
  </si>
  <si>
    <t>転嫁</t>
    <rPh sb="0" eb="2">
      <t>テンカ</t>
    </rPh>
    <phoneticPr fontId="26"/>
  </si>
  <si>
    <t>保険などで他者に損害を被ってもらう。</t>
    <rPh sb="0" eb="2">
      <t>ホケン</t>
    </rPh>
    <rPh sb="5" eb="7">
      <t>タシャ</t>
    </rPh>
    <rPh sb="8" eb="10">
      <t>ソンガイ</t>
    </rPh>
    <rPh sb="11" eb="12">
      <t>コウム</t>
    </rPh>
    <phoneticPr fontId="26"/>
  </si>
  <si>
    <t>担当者が管理していく。</t>
    <rPh sb="0" eb="3">
      <t>タントウシャ</t>
    </rPh>
    <rPh sb="4" eb="6">
      <t>カンリ</t>
    </rPh>
    <phoneticPr fontId="26"/>
  </si>
  <si>
    <t>保有</t>
    <rPh sb="0" eb="2">
      <t>ホユウ</t>
    </rPh>
    <phoneticPr fontId="26"/>
  </si>
  <si>
    <t>損害が発生した場合のみに対応をする。</t>
    <rPh sb="0" eb="2">
      <t>ソンガイ</t>
    </rPh>
    <rPh sb="3" eb="5">
      <t>ハッセイ</t>
    </rPh>
    <rPh sb="7" eb="9">
      <t>バアイ</t>
    </rPh>
    <rPh sb="12" eb="14">
      <t>タイオウ</t>
    </rPh>
    <phoneticPr fontId="26"/>
  </si>
  <si>
    <t>12月度</t>
    <rPh sb="2" eb="3">
      <t>ガツ</t>
    </rPh>
    <rPh sb="3" eb="4">
      <t>ド</t>
    </rPh>
    <phoneticPr fontId="22"/>
  </si>
  <si>
    <t>対応中</t>
    <phoneticPr fontId="22"/>
  </si>
  <si>
    <t>解決済み</t>
    <phoneticPr fontId="22"/>
  </si>
  <si>
    <t>未対応</t>
    <rPh sb="0" eb="3">
      <t>ミタイオウ</t>
    </rPh>
    <phoneticPr fontId="22"/>
  </si>
  <si>
    <t>商品統合管理部</t>
    <rPh sb="0" eb="4">
      <t>ショウヒントウゴウ</t>
    </rPh>
    <rPh sb="4" eb="6">
      <t>カンリ</t>
    </rPh>
    <rPh sb="6" eb="7">
      <t>ブ</t>
    </rPh>
    <phoneticPr fontId="22"/>
  </si>
  <si>
    <t>商品企画部</t>
    <rPh sb="0" eb="2">
      <t>ショウヒン</t>
    </rPh>
    <rPh sb="2" eb="4">
      <t>キカク</t>
    </rPh>
    <rPh sb="4" eb="5">
      <t>ブ</t>
    </rPh>
    <phoneticPr fontId="22"/>
  </si>
  <si>
    <t>商品管理部</t>
    <rPh sb="0" eb="2">
      <t>ショウヒン</t>
    </rPh>
    <rPh sb="2" eb="4">
      <t>カンリ</t>
    </rPh>
    <rPh sb="4" eb="5">
      <t>ブ</t>
    </rPh>
    <phoneticPr fontId="22"/>
  </si>
  <si>
    <t>商品部第１GP</t>
    <rPh sb="0" eb="2">
      <t>ショウヒン</t>
    </rPh>
    <rPh sb="2" eb="3">
      <t>ブ</t>
    </rPh>
    <rPh sb="3" eb="4">
      <t>ダイ</t>
    </rPh>
    <phoneticPr fontId="22"/>
  </si>
  <si>
    <t>商品部第２GP</t>
    <rPh sb="0" eb="2">
      <t>ショウヒン</t>
    </rPh>
    <rPh sb="2" eb="3">
      <t>ブ</t>
    </rPh>
    <rPh sb="3" eb="4">
      <t>ダイ</t>
    </rPh>
    <phoneticPr fontId="22"/>
  </si>
  <si>
    <t>商品部第３GP</t>
    <rPh sb="0" eb="2">
      <t>ショウヒン</t>
    </rPh>
    <rPh sb="2" eb="3">
      <t>ブ</t>
    </rPh>
    <rPh sb="3" eb="4">
      <t>ダイ</t>
    </rPh>
    <phoneticPr fontId="22"/>
  </si>
  <si>
    <t>商品部第４GP</t>
    <rPh sb="0" eb="2">
      <t>ショウヒン</t>
    </rPh>
    <rPh sb="2" eb="3">
      <t>ブ</t>
    </rPh>
    <rPh sb="3" eb="4">
      <t>ダイ</t>
    </rPh>
    <phoneticPr fontId="22"/>
  </si>
  <si>
    <t>商品部第５GP</t>
    <rPh sb="0" eb="2">
      <t>ショウヒン</t>
    </rPh>
    <rPh sb="2" eb="3">
      <t>ブ</t>
    </rPh>
    <rPh sb="3" eb="4">
      <t>ダイ</t>
    </rPh>
    <phoneticPr fontId="22"/>
  </si>
  <si>
    <t>商品部第６GP</t>
    <rPh sb="0" eb="2">
      <t>ショウヒン</t>
    </rPh>
    <rPh sb="2" eb="3">
      <t>ブ</t>
    </rPh>
    <rPh sb="3" eb="4">
      <t>ダイ</t>
    </rPh>
    <phoneticPr fontId="22"/>
  </si>
  <si>
    <t>商品部第７GP</t>
    <rPh sb="0" eb="2">
      <t>ショウヒン</t>
    </rPh>
    <rPh sb="2" eb="3">
      <t>ブ</t>
    </rPh>
    <rPh sb="3" eb="4">
      <t>ダイ</t>
    </rPh>
    <phoneticPr fontId="22"/>
  </si>
  <si>
    <t>商品部第８GP</t>
    <rPh sb="0" eb="2">
      <t>ショウヒン</t>
    </rPh>
    <rPh sb="2" eb="3">
      <t>ブ</t>
    </rPh>
    <rPh sb="3" eb="4">
      <t>ダイ</t>
    </rPh>
    <phoneticPr fontId="22"/>
  </si>
  <si>
    <t>MD管理</t>
    <rPh sb="2" eb="4">
      <t>カンリ</t>
    </rPh>
    <phoneticPr fontId="22"/>
  </si>
  <si>
    <t>1月度</t>
    <rPh sb="1" eb="2">
      <t>ガツ</t>
    </rPh>
    <rPh sb="2" eb="3">
      <t>ド</t>
    </rPh>
    <phoneticPr fontId="22"/>
  </si>
  <si>
    <t>2月度</t>
    <rPh sb="1" eb="2">
      <t>ガツ</t>
    </rPh>
    <rPh sb="2" eb="3">
      <t>ド</t>
    </rPh>
    <phoneticPr fontId="22"/>
  </si>
  <si>
    <t>3月度</t>
    <rPh sb="1" eb="2">
      <t>ガツ</t>
    </rPh>
    <rPh sb="2" eb="3">
      <t>ド</t>
    </rPh>
    <phoneticPr fontId="22"/>
  </si>
  <si>
    <t>4月度</t>
    <rPh sb="1" eb="2">
      <t>ガツ</t>
    </rPh>
    <rPh sb="2" eb="3">
      <t>ド</t>
    </rPh>
    <phoneticPr fontId="22"/>
  </si>
  <si>
    <t>5月度</t>
    <rPh sb="1" eb="2">
      <t>ガツ</t>
    </rPh>
    <rPh sb="2" eb="3">
      <t>ド</t>
    </rPh>
    <phoneticPr fontId="22"/>
  </si>
  <si>
    <t>6月度</t>
    <rPh sb="1" eb="2">
      <t>ガツ</t>
    </rPh>
    <rPh sb="2" eb="3">
      <t>ド</t>
    </rPh>
    <phoneticPr fontId="22"/>
  </si>
  <si>
    <t>7月度</t>
    <rPh sb="1" eb="2">
      <t>ガツ</t>
    </rPh>
    <rPh sb="2" eb="3">
      <t>ド</t>
    </rPh>
    <phoneticPr fontId="22"/>
  </si>
  <si>
    <t>9月度</t>
    <rPh sb="1" eb="2">
      <t>ガツ</t>
    </rPh>
    <rPh sb="2" eb="3">
      <t>ド</t>
    </rPh>
    <phoneticPr fontId="22"/>
  </si>
  <si>
    <t>10月度</t>
    <rPh sb="2" eb="3">
      <t>ガツ</t>
    </rPh>
    <rPh sb="3" eb="4">
      <t>ド</t>
    </rPh>
    <phoneticPr fontId="22"/>
  </si>
  <si>
    <t>11月度</t>
    <rPh sb="2" eb="3">
      <t>ガツ</t>
    </rPh>
    <rPh sb="3" eb="4">
      <t>ド</t>
    </rPh>
    <phoneticPr fontId="22"/>
  </si>
  <si>
    <t>発生頻度</t>
  </si>
  <si>
    <t>実施した対策</t>
  </si>
  <si>
    <t>進捗状況</t>
  </si>
  <si>
    <t>実施予定の対策</t>
  </si>
  <si>
    <t>身体的</t>
  </si>
  <si>
    <t>金銭的</t>
  </si>
  <si>
    <t>負傷なし</t>
    <rPh sb="0" eb="2">
      <t>フショウ</t>
    </rPh>
    <phoneticPr fontId="26"/>
  </si>
  <si>
    <t>負傷者多数</t>
    <rPh sb="0" eb="3">
      <t>フショウシャ</t>
    </rPh>
    <phoneticPr fontId="26"/>
  </si>
  <si>
    <t>10万円以下</t>
    <rPh sb="2" eb="4">
      <t>マンエン</t>
    </rPh>
    <rPh sb="4" eb="6">
      <t>イカ</t>
    </rPh>
    <phoneticPr fontId="26"/>
  </si>
  <si>
    <t>100万円以下</t>
    <rPh sb="3" eb="5">
      <t>マンエン</t>
    </rPh>
    <rPh sb="5" eb="7">
      <t>イカ</t>
    </rPh>
    <phoneticPr fontId="26"/>
  </si>
  <si>
    <t>1000万円以下</t>
    <rPh sb="4" eb="6">
      <t>マンエン</t>
    </rPh>
    <rPh sb="6" eb="8">
      <t>イカ</t>
    </rPh>
    <phoneticPr fontId="26"/>
  </si>
  <si>
    <t>6～20人以下</t>
    <rPh sb="4" eb="5">
      <t>ニン</t>
    </rPh>
    <rPh sb="5" eb="7">
      <t>イカ</t>
    </rPh>
    <phoneticPr fontId="26"/>
  </si>
  <si>
    <t>21～999人以下</t>
    <rPh sb="6" eb="7">
      <t>ニン</t>
    </rPh>
    <rPh sb="7" eb="9">
      <t>イカ</t>
    </rPh>
    <phoneticPr fontId="26"/>
  </si>
  <si>
    <t>1000～4999人以下</t>
    <rPh sb="9" eb="10">
      <t>ニン</t>
    </rPh>
    <rPh sb="10" eb="12">
      <t>イカ</t>
    </rPh>
    <phoneticPr fontId="26"/>
  </si>
  <si>
    <t>売上に影響なし</t>
    <rPh sb="0" eb="2">
      <t>ウリアゲ</t>
    </rPh>
    <rPh sb="3" eb="5">
      <t>エイキョウ</t>
    </rPh>
    <phoneticPr fontId="26"/>
  </si>
  <si>
    <t>数か月の影響</t>
    <rPh sb="0" eb="1">
      <t>スウ</t>
    </rPh>
    <rPh sb="2" eb="3">
      <t>ゲツ</t>
    </rPh>
    <rPh sb="4" eb="6">
      <t>エイキョウ</t>
    </rPh>
    <phoneticPr fontId="26"/>
  </si>
  <si>
    <t>1月に1回以上</t>
    <rPh sb="1" eb="2">
      <t>ツキ</t>
    </rPh>
    <rPh sb="4" eb="5">
      <t>カイ</t>
    </rPh>
    <rPh sb="5" eb="7">
      <t>イジョウ</t>
    </rPh>
    <phoneticPr fontId="26"/>
  </si>
  <si>
    <t>半年に1回以上</t>
    <rPh sb="0" eb="2">
      <t>ハントシ</t>
    </rPh>
    <rPh sb="4" eb="5">
      <t>カイ</t>
    </rPh>
    <rPh sb="5" eb="7">
      <t>イジョウ</t>
    </rPh>
    <phoneticPr fontId="26"/>
  </si>
  <si>
    <t>1年に1回以上</t>
    <rPh sb="1" eb="2">
      <t>ネン</t>
    </rPh>
    <rPh sb="4" eb="5">
      <t>カイ</t>
    </rPh>
    <rPh sb="5" eb="7">
      <t>イジョウ</t>
    </rPh>
    <phoneticPr fontId="26"/>
  </si>
  <si>
    <t>10年に1回以上</t>
    <rPh sb="2" eb="3">
      <t>ネン</t>
    </rPh>
    <rPh sb="5" eb="6">
      <t>カイ</t>
    </rPh>
    <rPh sb="6" eb="8">
      <t>イジョウ</t>
    </rPh>
    <phoneticPr fontId="26"/>
  </si>
  <si>
    <t>数十年で1回以上</t>
    <rPh sb="0" eb="1">
      <t>スウ</t>
    </rPh>
    <rPh sb="1" eb="3">
      <t>ジュウネン</t>
    </rPh>
    <rPh sb="5" eb="8">
      <t>カイイジョウ</t>
    </rPh>
    <phoneticPr fontId="26"/>
  </si>
  <si>
    <t>事前</t>
    <phoneticPr fontId="22"/>
  </si>
  <si>
    <t>事後</t>
    <phoneticPr fontId="22"/>
  </si>
  <si>
    <t>インシデント</t>
    <phoneticPr fontId="22"/>
  </si>
  <si>
    <t>アクシデント</t>
    <phoneticPr fontId="22"/>
  </si>
  <si>
    <t>なし</t>
    <phoneticPr fontId="22"/>
  </si>
  <si>
    <t>運用不備</t>
    <phoneticPr fontId="22"/>
  </si>
  <si>
    <t>整備不備</t>
    <phoneticPr fontId="22"/>
  </si>
  <si>
    <t>ランク</t>
    <phoneticPr fontId="22"/>
  </si>
  <si>
    <t>影響度</t>
    <phoneticPr fontId="22"/>
  </si>
  <si>
    <t>対策有効性</t>
    <phoneticPr fontId="22"/>
  </si>
  <si>
    <t>長期影響、回復しない</t>
    <rPh sb="0" eb="2">
      <t>チョウキ</t>
    </rPh>
    <rPh sb="2" eb="4">
      <t>エイキョウ</t>
    </rPh>
    <rPh sb="5" eb="7">
      <t>カイフク</t>
    </rPh>
    <phoneticPr fontId="26"/>
  </si>
  <si>
    <t>回避</t>
    <rPh sb="0" eb="2">
      <t>カイヒ</t>
    </rPh>
    <phoneticPr fontId="22"/>
  </si>
  <si>
    <t>共有</t>
    <rPh sb="0" eb="2">
      <t>キョウユウ</t>
    </rPh>
    <phoneticPr fontId="22"/>
  </si>
  <si>
    <t>軽減</t>
    <rPh sb="0" eb="2">
      <t>ケイゲン</t>
    </rPh>
    <phoneticPr fontId="22"/>
  </si>
  <si>
    <t>保有</t>
    <rPh sb="0" eb="2">
      <t>ホユウ</t>
    </rPh>
    <phoneticPr fontId="22"/>
  </si>
  <si>
    <t>案件タイトル</t>
    <rPh sb="0" eb="2">
      <t>アンケン</t>
    </rPh>
    <phoneticPr fontId="22"/>
  </si>
  <si>
    <t>不具合の分類</t>
    <rPh sb="0" eb="3">
      <t>フグアイ</t>
    </rPh>
    <rPh sb="4" eb="6">
      <t>ブンルイ</t>
    </rPh>
    <phoneticPr fontId="22"/>
  </si>
  <si>
    <t>対策有効度</t>
    <phoneticPr fontId="22"/>
  </si>
  <si>
    <t>なぜ起きた？</t>
    <rPh sb="2" eb="3">
      <t>オ</t>
    </rPh>
    <phoneticPr fontId="22"/>
  </si>
  <si>
    <t>報告者</t>
  </si>
  <si>
    <t>追跡中</t>
    <phoneticPr fontId="22"/>
  </si>
  <si>
    <t>インシ・アクシ</t>
    <phoneticPr fontId="22"/>
  </si>
  <si>
    <t>だれが(何が)起こした？</t>
    <phoneticPr fontId="22"/>
  </si>
  <si>
    <t>だれに対して？</t>
    <phoneticPr fontId="22"/>
  </si>
  <si>
    <t>何が起きた？</t>
    <phoneticPr fontId="22"/>
  </si>
  <si>
    <t>発生日はいつ？</t>
    <phoneticPr fontId="22"/>
  </si>
  <si>
    <t>影響を与えた計上月</t>
    <phoneticPr fontId="22"/>
  </si>
  <si>
    <t>発生日はいつ？</t>
  </si>
  <si>
    <t>備考</t>
    <rPh sb="0" eb="2">
      <t>ビコウ</t>
    </rPh>
    <phoneticPr fontId="22"/>
  </si>
  <si>
    <t>その他</t>
    <rPh sb="2" eb="3">
      <t>タ</t>
    </rPh>
    <phoneticPr fontId="22"/>
  </si>
  <si>
    <t>商品統合管理室</t>
  </si>
  <si>
    <t>事後</t>
  </si>
  <si>
    <t>負傷なし</t>
  </si>
  <si>
    <t>10万円以下</t>
  </si>
  <si>
    <t>5人以下</t>
  </si>
  <si>
    <t>100万円以下</t>
  </si>
  <si>
    <t>1000万円以下</t>
  </si>
  <si>
    <t>21～999人以下</t>
  </si>
  <si>
    <t>救急処置</t>
  </si>
  <si>
    <t>発生頻度</t>
    <phoneticPr fontId="22"/>
  </si>
  <si>
    <t>治療が必要</t>
  </si>
  <si>
    <t>負傷者多数</t>
  </si>
  <si>
    <t>死亡</t>
  </si>
  <si>
    <t>１億円以下</t>
  </si>
  <si>
    <t>１億円超</t>
  </si>
  <si>
    <t>6～20人以下</t>
  </si>
  <si>
    <t>1000～4999人以下</t>
  </si>
  <si>
    <t>→</t>
    <phoneticPr fontId="22"/>
  </si>
  <si>
    <t>金銭的</t>
    <phoneticPr fontId="22"/>
  </si>
  <si>
    <t>個人情報</t>
    <phoneticPr fontId="22"/>
  </si>
  <si>
    <t>例題</t>
    <rPh sb="0" eb="2">
      <t>レイダイ</t>
    </rPh>
    <phoneticPr fontId="22"/>
  </si>
  <si>
    <t>商品が破損していた。
社会情勢で取引先から納入できなくなった。
商品の自主回収をした。
　金額＝商品個数X単価
　金額＝違約金、賠償額</t>
    <rPh sb="0" eb="2">
      <t>ショウヒン</t>
    </rPh>
    <rPh sb="3" eb="5">
      <t>ハソン</t>
    </rPh>
    <rPh sb="11" eb="15">
      <t>シャカイジョウセイ</t>
    </rPh>
    <rPh sb="16" eb="18">
      <t>トリヒキ</t>
    </rPh>
    <rPh sb="18" eb="19">
      <t>サキ</t>
    </rPh>
    <rPh sb="21" eb="23">
      <t>ノウニュウ</t>
    </rPh>
    <rPh sb="32" eb="34">
      <t>ショウヒン</t>
    </rPh>
    <rPh sb="35" eb="37">
      <t>ジシュ</t>
    </rPh>
    <rPh sb="37" eb="39">
      <t>カイシュウ</t>
    </rPh>
    <rPh sb="48" eb="50">
      <t>ショウヒン</t>
    </rPh>
    <rPh sb="50" eb="52">
      <t>コスウ</t>
    </rPh>
    <rPh sb="53" eb="55">
      <t>タンカ</t>
    </rPh>
    <rPh sb="60" eb="63">
      <t>イヤクキン</t>
    </rPh>
    <rPh sb="64" eb="66">
      <t>バイショウ</t>
    </rPh>
    <rPh sb="66" eb="67">
      <t>ガク</t>
    </rPh>
    <phoneticPr fontId="22"/>
  </si>
  <si>
    <t>数日から数週間</t>
    <phoneticPr fontId="26"/>
  </si>
  <si>
    <t>売上に影響なく、問題が収束した。当月相殺処理など</t>
    <rPh sb="0" eb="2">
      <t>ウリアゲ</t>
    </rPh>
    <rPh sb="3" eb="5">
      <t>エイキョウ</t>
    </rPh>
    <rPh sb="8" eb="10">
      <t>モンダイ</t>
    </rPh>
    <rPh sb="11" eb="13">
      <t>シュウソク</t>
    </rPh>
    <rPh sb="16" eb="18">
      <t>トウゲツ</t>
    </rPh>
    <rPh sb="18" eb="20">
      <t>ソウサイ</t>
    </rPh>
    <rPh sb="20" eb="22">
      <t>ショリ</t>
    </rPh>
    <phoneticPr fontId="22"/>
  </si>
  <si>
    <t>バイヤー</t>
  </si>
  <si>
    <t>案件タイトル</t>
  </si>
  <si>
    <t>だれが(何が)起こした？</t>
  </si>
  <si>
    <t>だれに(何に)対して？</t>
  </si>
  <si>
    <t>何が起きた？</t>
  </si>
  <si>
    <t>なぜ起きた？</t>
  </si>
  <si>
    <t>不具合の分類</t>
  </si>
  <si>
    <t>対策有効度</t>
  </si>
  <si>
    <t>ヒアリング</t>
    <phoneticPr fontId="22"/>
  </si>
  <si>
    <t>完了</t>
    <rPh sb="0" eb="2">
      <t>カンリョウ</t>
    </rPh>
    <phoneticPr fontId="22"/>
  </si>
  <si>
    <t>分析中</t>
    <rPh sb="0" eb="2">
      <t>ブンセキ</t>
    </rPh>
    <rPh sb="2" eb="3">
      <t>チュウ</t>
    </rPh>
    <phoneticPr fontId="22"/>
  </si>
  <si>
    <t>経済的</t>
    <rPh sb="0" eb="3">
      <t>ケイザイテキ</t>
    </rPh>
    <phoneticPr fontId="22"/>
  </si>
  <si>
    <t>信用度</t>
    <phoneticPr fontId="22"/>
  </si>
  <si>
    <t>1　絆創膏程度のけが</t>
  </si>
  <si>
    <t>2　病院での治療、休業無し</t>
  </si>
  <si>
    <t>3　通院が必要、休業3日以内</t>
  </si>
  <si>
    <t>4　休業4日以上</t>
  </si>
  <si>
    <t>5　重度障害・死亡事故</t>
  </si>
  <si>
    <t>対策基準</t>
    <phoneticPr fontId="22"/>
  </si>
  <si>
    <t>身体への影響</t>
  </si>
  <si>
    <t>想定される損失</t>
  </si>
  <si>
    <t>1　0円~10万円未満の損失</t>
  </si>
  <si>
    <t>2　10万円以上～100万円未満の損失</t>
  </si>
  <si>
    <t>3　100万円以上～1000万円未満の損失</t>
  </si>
  <si>
    <t>4　1000万円以上～1億円未満の損失</t>
  </si>
  <si>
    <t>5　1億円以上の損失</t>
  </si>
  <si>
    <t>信頼度</t>
  </si>
  <si>
    <t>1　お客様からクレーム（店舗対応）、問題がない</t>
  </si>
  <si>
    <t>2　お客様からクレーム（本部対応）、多少の影響あり</t>
  </si>
  <si>
    <t>3　業界紙に掲載。ネット炎上。</t>
  </si>
  <si>
    <t>4　全国紙・キー局で報道、行政指導入る、会計上の問題。</t>
  </si>
  <si>
    <t>5　社会全体の問題</t>
  </si>
  <si>
    <t>対策状況</t>
  </si>
  <si>
    <t>1　対策基準が有効である</t>
  </si>
  <si>
    <t>3　対策はあるが不十分である</t>
  </si>
  <si>
    <t>5　対策は無し</t>
  </si>
  <si>
    <t>1　まず発生しない</t>
  </si>
  <si>
    <t>2　まれに起きる、年1度</t>
  </si>
  <si>
    <t>3　たまに起きる、半年1度</t>
  </si>
  <si>
    <t>4　時々起きる、月1度</t>
  </si>
  <si>
    <t>5　よく起きる、週1度以上</t>
  </si>
  <si>
    <t>絆創膏程度けが</t>
  </si>
  <si>
    <t>病院治療休業無し</t>
  </si>
  <si>
    <t>通院必要休業3日以内</t>
  </si>
  <si>
    <t>休業4日以上</t>
  </si>
  <si>
    <t>重度障害死亡事故</t>
  </si>
  <si>
    <t>0円～10万円未満</t>
  </si>
  <si>
    <t>10万円以上～100万円未満</t>
  </si>
  <si>
    <t>100万円以上～1000万円未満</t>
  </si>
  <si>
    <t>1000万円以上～1億円未満</t>
  </si>
  <si>
    <t>1億円以上</t>
  </si>
  <si>
    <t>お客様からクレーム（店舗対応）問題がない</t>
  </si>
  <si>
    <t>お客様からクレーム（本部対応）影響あり</t>
  </si>
  <si>
    <t>社会全体問題</t>
  </si>
  <si>
    <t>対策基準有効</t>
  </si>
  <si>
    <t>対策はあるが不十分</t>
  </si>
  <si>
    <t>対策無し</t>
  </si>
  <si>
    <t>まず発生しない</t>
  </si>
  <si>
    <t>まれに起きる年1度</t>
  </si>
  <si>
    <t>たまに起きる半年1度</t>
  </si>
  <si>
    <t>時々起きる月1度</t>
  </si>
  <si>
    <t>よく起きる週1度以上</t>
  </si>
  <si>
    <t>信頼度</t>
    <phoneticPr fontId="22"/>
  </si>
  <si>
    <t>想定される損失</t>
    <phoneticPr fontId="22"/>
  </si>
  <si>
    <t>全国紙キー局で報道行政指導入会計上の問題</t>
    <phoneticPr fontId="22"/>
  </si>
  <si>
    <t>業界紙に掲載ネット炎上</t>
    <phoneticPr fontId="22"/>
  </si>
  <si>
    <t>在庫対策費</t>
  </si>
  <si>
    <t>納品時単価差異</t>
  </si>
  <si>
    <t>提出日付</t>
    <rPh sb="0" eb="2">
      <t>テイシュツ</t>
    </rPh>
    <rPh sb="2" eb="4">
      <t>ヒヅケ</t>
    </rPh>
    <phoneticPr fontId="22"/>
  </si>
  <si>
    <t>A型</t>
    <rPh sb="1" eb="2">
      <t>ガタ</t>
    </rPh>
    <phoneticPr fontId="22"/>
  </si>
  <si>
    <t>B型</t>
    <rPh sb="1" eb="2">
      <t>ガタ</t>
    </rPh>
    <phoneticPr fontId="22"/>
  </si>
  <si>
    <t>C型</t>
    <rPh sb="1" eb="2">
      <t>ガタ</t>
    </rPh>
    <phoneticPr fontId="22"/>
  </si>
  <si>
    <t>D型</t>
    <rPh sb="1" eb="2">
      <t>ガタ</t>
    </rPh>
    <phoneticPr fontId="22"/>
  </si>
  <si>
    <t>E型</t>
    <rPh sb="1" eb="2">
      <t>ガタ</t>
    </rPh>
    <phoneticPr fontId="22"/>
  </si>
  <si>
    <t>F型</t>
    <rPh sb="1" eb="2">
      <t>ガタ</t>
    </rPh>
    <phoneticPr fontId="22"/>
  </si>
  <si>
    <t>G型</t>
    <rPh sb="1" eb="2">
      <t>ガタ</t>
    </rPh>
    <phoneticPr fontId="22"/>
  </si>
  <si>
    <t>H型</t>
    <rPh sb="1" eb="2">
      <t>ガタ</t>
    </rPh>
    <phoneticPr fontId="22"/>
  </si>
  <si>
    <t>I型</t>
    <rPh sb="1" eb="2">
      <t>ガタ</t>
    </rPh>
    <phoneticPr fontId="22"/>
  </si>
  <si>
    <t>J型</t>
    <rPh sb="1" eb="2">
      <t>ガタ</t>
    </rPh>
    <phoneticPr fontId="22"/>
  </si>
  <si>
    <t>K型</t>
    <rPh sb="1" eb="2">
      <t>ガタ</t>
    </rPh>
    <phoneticPr fontId="22"/>
  </si>
  <si>
    <t>L型</t>
    <rPh sb="1" eb="2">
      <t>ガタ</t>
    </rPh>
    <phoneticPr fontId="22"/>
  </si>
  <si>
    <t>緊急度</t>
    <phoneticPr fontId="26"/>
  </si>
  <si>
    <t>重要度</t>
    <phoneticPr fontId="26"/>
  </si>
  <si>
    <t>リベート型</t>
    <rPh sb="4" eb="5">
      <t>カタ</t>
    </rPh>
    <phoneticPr fontId="22"/>
  </si>
  <si>
    <t>B型</t>
  </si>
  <si>
    <t>I型</t>
  </si>
  <si>
    <t>H型</t>
  </si>
  <si>
    <t>種別
コード</t>
    <phoneticPr fontId="26"/>
  </si>
  <si>
    <t>種別名称</t>
  </si>
  <si>
    <t>リベート型</t>
    <phoneticPr fontId="26"/>
  </si>
  <si>
    <t>実売助成費</t>
  </si>
  <si>
    <t>実売助成費（店別）</t>
  </si>
  <si>
    <t>L型</t>
  </si>
  <si>
    <t>センターフィー（請求・支払型）</t>
  </si>
  <si>
    <t>センターフィー（仕入型）</t>
  </si>
  <si>
    <t>原価リベート</t>
  </si>
  <si>
    <t>A型</t>
  </si>
  <si>
    <t>原価リベート（店別）</t>
  </si>
  <si>
    <t>携帯インセンティブ</t>
  </si>
  <si>
    <t>K型</t>
  </si>
  <si>
    <t>販売支援金（請求・支払型）</t>
  </si>
  <si>
    <t>販売支援金（仕入型）</t>
  </si>
  <si>
    <t>拡売費（グロス型）</t>
  </si>
  <si>
    <t>G型</t>
  </si>
  <si>
    <t>商談録型（データ提供料等）</t>
  </si>
  <si>
    <t>送料助成費（配送型）</t>
  </si>
  <si>
    <t>送料助成費（不良品）</t>
  </si>
  <si>
    <t>J型</t>
  </si>
  <si>
    <t>商談録型（送料助成費）</t>
  </si>
  <si>
    <t>商談録型（VAN通信費）</t>
  </si>
  <si>
    <t>商談録型（広告収入制作・掲出料）</t>
  </si>
  <si>
    <t>商談録型（広告収入ストリーミング広告料）</t>
  </si>
  <si>
    <t>商談録型（広告収入マルチビジョン放映料）</t>
  </si>
  <si>
    <t>商談録型（広告収入店内ＣＭ放映料）</t>
  </si>
  <si>
    <t>商談録型（看板広告その他）</t>
  </si>
  <si>
    <t>工事助成費（配送型）</t>
  </si>
  <si>
    <t>回収促進リベート（請求・支払型）</t>
  </si>
  <si>
    <t>商談録型（チラシ拡売費等）</t>
  </si>
  <si>
    <t>商談録型（ＤＭ作成料）</t>
  </si>
  <si>
    <t>商談録型（オリコンレンタル料）</t>
  </si>
  <si>
    <t>商談録型（看板広告BS）</t>
  </si>
  <si>
    <t>商談録型（関連会社分）</t>
  </si>
  <si>
    <t>展示品導入リベート</t>
  </si>
  <si>
    <t>展示品拡売費</t>
  </si>
  <si>
    <t>携帯割賦販売立替金</t>
  </si>
  <si>
    <t>契約インセンティブ</t>
  </si>
  <si>
    <t>BTO取次</t>
  </si>
  <si>
    <t>販促リベート</t>
  </si>
  <si>
    <t>販促リベート（複数売価）</t>
  </si>
  <si>
    <t>達成型リベート（仕入金額達成比例型）</t>
  </si>
  <si>
    <t>C型</t>
  </si>
  <si>
    <t>達成型リベート（仕入数量達成比例型）</t>
  </si>
  <si>
    <t>達成型リベート（仕入金額達成定額型）</t>
  </si>
  <si>
    <t>達成型リベート（仕入数量達成定額型）</t>
  </si>
  <si>
    <t>達成型リベート（実売金額達成比例型）</t>
  </si>
  <si>
    <t>達成型リベート（実売数量達成比例型）</t>
  </si>
  <si>
    <t>達成型リベート（実売金額達成定額型）</t>
  </si>
  <si>
    <t>達成型リベート（実売数量達成定額型）</t>
  </si>
  <si>
    <t>プレミアム月額課金（通信手数料売上）</t>
  </si>
  <si>
    <t>プレミアム月額課金（取次収入売上）</t>
  </si>
  <si>
    <t>プレミアム月額課金（ワランティ売上）</t>
  </si>
  <si>
    <t>プレミアム月額課金（サポート売上）</t>
  </si>
  <si>
    <t>プレミアム月額課金（カード売上）</t>
  </si>
  <si>
    <t>一括仕入リベート</t>
  </si>
  <si>
    <t>商談録(訂正型）</t>
  </si>
  <si>
    <t>商談録型（印紙代相殺）</t>
  </si>
  <si>
    <t>商談録型（売掛金相殺分）</t>
  </si>
  <si>
    <t>商談録型（その他勘定振替）</t>
  </si>
  <si>
    <t>なし</t>
    <phoneticPr fontId="22"/>
  </si>
  <si>
    <t>絆創膏程度のけが</t>
    <phoneticPr fontId="22"/>
  </si>
  <si>
    <t>病院での治療、休業無し</t>
    <phoneticPr fontId="22"/>
  </si>
  <si>
    <t>通院が必要、休業3日以内</t>
    <phoneticPr fontId="22"/>
  </si>
  <si>
    <t>休業4日以上</t>
    <phoneticPr fontId="22"/>
  </si>
  <si>
    <t>重度障害・死亡事故</t>
    <phoneticPr fontId="22"/>
  </si>
  <si>
    <t>取引先、お客様からクレームメール、電話をいただいた。</t>
    <rPh sb="0" eb="2">
      <t>トリヒキ</t>
    </rPh>
    <rPh sb="2" eb="3">
      <t>サキ</t>
    </rPh>
    <rPh sb="5" eb="7">
      <t>キャクサマ</t>
    </rPh>
    <rPh sb="17" eb="19">
      <t>デンワ</t>
    </rPh>
    <phoneticPr fontId="22"/>
  </si>
  <si>
    <t>SNSに書き込みがあり炎上した。</t>
    <rPh sb="4" eb="5">
      <t>カ</t>
    </rPh>
    <rPh sb="6" eb="7">
      <t>コ</t>
    </rPh>
    <rPh sb="11" eb="13">
      <t>エンジョウ</t>
    </rPh>
    <phoneticPr fontId="22"/>
  </si>
  <si>
    <t>ワイドショーで取り上げられた</t>
    <rPh sb="7" eb="8">
      <t>ト</t>
    </rPh>
    <rPh sb="9" eb="10">
      <t>ア</t>
    </rPh>
    <phoneticPr fontId="22"/>
  </si>
  <si>
    <t>営業停止命令が出た</t>
    <rPh sb="0" eb="2">
      <t>エイギョウ</t>
    </rPh>
    <rPh sb="2" eb="4">
      <t>テイシ</t>
    </rPh>
    <rPh sb="4" eb="6">
      <t>メイレイ</t>
    </rPh>
    <rPh sb="7" eb="8">
      <t>デ</t>
    </rPh>
    <phoneticPr fontId="22"/>
  </si>
  <si>
    <t>対象の金額</t>
    <rPh sb="0" eb="2">
      <t>タイショウ</t>
    </rPh>
    <phoneticPr fontId="22"/>
  </si>
  <si>
    <t>作業分類</t>
    <phoneticPr fontId="22"/>
  </si>
  <si>
    <t>発生要因</t>
    <phoneticPr fontId="22"/>
  </si>
  <si>
    <t>発生個所</t>
    <phoneticPr fontId="22"/>
  </si>
  <si>
    <t>問題発生個所分類</t>
    <rPh sb="0" eb="4">
      <t>モンダイハッセイ</t>
    </rPh>
    <rPh sb="4" eb="6">
      <t>カショ</t>
    </rPh>
    <rPh sb="6" eb="8">
      <t>ブンルイ</t>
    </rPh>
    <phoneticPr fontId="22"/>
  </si>
  <si>
    <t>問題発生要因</t>
    <rPh sb="0" eb="4">
      <t>モンダイハッセイ</t>
    </rPh>
    <rPh sb="4" eb="6">
      <t>ヨウイン</t>
    </rPh>
    <phoneticPr fontId="22"/>
  </si>
  <si>
    <t>他部署</t>
    <rPh sb="0" eb="3">
      <t>タブショ</t>
    </rPh>
    <phoneticPr fontId="22"/>
  </si>
  <si>
    <t>エビデンス不足</t>
  </si>
  <si>
    <t>取引先</t>
  </si>
  <si>
    <t>作業分類B</t>
    <rPh sb="0" eb="2">
      <t>サギョウ</t>
    </rPh>
    <phoneticPr fontId="22"/>
  </si>
  <si>
    <t>基本作業</t>
    <rPh sb="0" eb="2">
      <t>キホン</t>
    </rPh>
    <rPh sb="2" eb="4">
      <t>サギョウ</t>
    </rPh>
    <phoneticPr fontId="22"/>
  </si>
  <si>
    <t>追加や加工作業</t>
    <rPh sb="3" eb="5">
      <t>カコウ</t>
    </rPh>
    <rPh sb="5" eb="7">
      <t>サギョウ</t>
    </rPh>
    <phoneticPr fontId="22"/>
  </si>
  <si>
    <t>イレギュラー、事故対応</t>
    <rPh sb="9" eb="11">
      <t>タイオウ</t>
    </rPh>
    <phoneticPr fontId="22"/>
  </si>
  <si>
    <t>取引先名</t>
    <rPh sb="0" eb="4">
      <t>トリヒキサキメイ</t>
    </rPh>
    <phoneticPr fontId="22"/>
  </si>
  <si>
    <t>対象の金額</t>
    <phoneticPr fontId="11"/>
  </si>
  <si>
    <t>信用度</t>
    <phoneticPr fontId="11"/>
  </si>
  <si>
    <t>対策基準</t>
    <phoneticPr fontId="11"/>
  </si>
  <si>
    <t>影響を与えた金額</t>
    <rPh sb="0" eb="2">
      <t>エイキョウ</t>
    </rPh>
    <rPh sb="3" eb="4">
      <t>アタ</t>
    </rPh>
    <phoneticPr fontId="11"/>
  </si>
  <si>
    <t>備考</t>
    <phoneticPr fontId="11"/>
  </si>
  <si>
    <t>発生個所</t>
    <phoneticPr fontId="22"/>
  </si>
  <si>
    <t>発生要因</t>
    <phoneticPr fontId="22"/>
  </si>
  <si>
    <t>作業分類</t>
    <phoneticPr fontId="22"/>
  </si>
  <si>
    <t>WFID</t>
    <phoneticPr fontId="22"/>
  </si>
  <si>
    <t>WFID</t>
    <phoneticPr fontId="22"/>
  </si>
  <si>
    <t>実施結果</t>
    <phoneticPr fontId="22"/>
  </si>
  <si>
    <t>結果分析</t>
    <phoneticPr fontId="22"/>
  </si>
  <si>
    <t>クローズ基準</t>
    <phoneticPr fontId="22"/>
  </si>
  <si>
    <t>ログ2</t>
  </si>
  <si>
    <t>ログ3</t>
  </si>
  <si>
    <t>金額概要</t>
    <rPh sb="0" eb="2">
      <t>キンガク</t>
    </rPh>
    <rPh sb="2" eb="4">
      <t>ガイヨウ</t>
    </rPh>
    <phoneticPr fontId="22"/>
  </si>
  <si>
    <t>今後の実施予定の対策</t>
    <rPh sb="0" eb="2">
      <t>コンゴ</t>
    </rPh>
    <rPh sb="3" eb="5">
      <t>ジッシ</t>
    </rPh>
    <rPh sb="5" eb="7">
      <t>ヨテイ</t>
    </rPh>
    <rPh sb="8" eb="10">
      <t>タイサク</t>
    </rPh>
    <phoneticPr fontId="22"/>
  </si>
  <si>
    <t>取引先名</t>
    <rPh sb="0" eb="3">
      <t>トリヒキサキ</t>
    </rPh>
    <rPh sb="3" eb="4">
      <t>メイ</t>
    </rPh>
    <phoneticPr fontId="22"/>
  </si>
  <si>
    <t>報告者</t>
    <rPh sb="0" eb="3">
      <t>ホウコクシャ</t>
    </rPh>
    <phoneticPr fontId="22"/>
  </si>
  <si>
    <t>リスク管理報告書　ver.2</t>
    <rPh sb="3" eb="8">
      <t>カンリホウコクショ</t>
    </rPh>
    <phoneticPr fontId="22"/>
  </si>
  <si>
    <t>ID</t>
    <phoneticPr fontId="22"/>
  </si>
  <si>
    <t>起票日</t>
    <rPh sb="0" eb="2">
      <t>キヒョウ</t>
    </rPh>
    <rPh sb="2" eb="3">
      <t>ビ</t>
    </rPh>
    <phoneticPr fontId="26"/>
  </si>
  <si>
    <t>WFID</t>
    <phoneticPr fontId="26"/>
  </si>
  <si>
    <t>インシ・アクシ</t>
    <phoneticPr fontId="26"/>
  </si>
  <si>
    <t>案件名</t>
    <phoneticPr fontId="26"/>
  </si>
  <si>
    <t>担当</t>
    <rPh sb="0" eb="2">
      <t>タントウ</t>
    </rPh>
    <phoneticPr fontId="26"/>
  </si>
  <si>
    <t>事象概要</t>
    <phoneticPr fontId="26"/>
  </si>
  <si>
    <t>インシデント</t>
  </si>
  <si>
    <t>かな</t>
    <phoneticPr fontId="26"/>
  </si>
  <si>
    <t>あおき</t>
    <phoneticPr fontId="26"/>
  </si>
  <si>
    <t>青木</t>
  </si>
  <si>
    <t>あさだ</t>
    <phoneticPr fontId="26"/>
  </si>
  <si>
    <t>朝田</t>
  </si>
  <si>
    <t>いがらし</t>
    <phoneticPr fontId="26"/>
  </si>
  <si>
    <t>五十嵐</t>
  </si>
  <si>
    <t>いわた</t>
    <phoneticPr fontId="26"/>
  </si>
  <si>
    <t>岩田</t>
  </si>
  <si>
    <t>うちかわ</t>
    <phoneticPr fontId="26"/>
  </si>
  <si>
    <t>内河</t>
  </si>
  <si>
    <t>おかじま</t>
    <phoneticPr fontId="26"/>
  </si>
  <si>
    <t>岡島</t>
  </si>
  <si>
    <t>おの</t>
    <phoneticPr fontId="26"/>
  </si>
  <si>
    <t>小野</t>
  </si>
  <si>
    <t>かわかみ</t>
    <phoneticPr fontId="26"/>
  </si>
  <si>
    <t>川上</t>
  </si>
  <si>
    <t>きたごう</t>
    <phoneticPr fontId="26"/>
  </si>
  <si>
    <t>北郷</t>
  </si>
  <si>
    <t>くじらい</t>
    <phoneticPr fontId="26"/>
  </si>
  <si>
    <t>鯨井</t>
  </si>
  <si>
    <t>くらち</t>
    <phoneticPr fontId="26"/>
  </si>
  <si>
    <t>倉地</t>
  </si>
  <si>
    <t>こばやし</t>
    <phoneticPr fontId="26"/>
  </si>
  <si>
    <t>小林</t>
  </si>
  <si>
    <t>すずき</t>
    <phoneticPr fontId="26"/>
  </si>
  <si>
    <t>鈴木</t>
  </si>
  <si>
    <t>たきがわ</t>
    <phoneticPr fontId="26"/>
  </si>
  <si>
    <t>滝川</t>
  </si>
  <si>
    <t>たなか</t>
    <phoneticPr fontId="26"/>
  </si>
  <si>
    <t>田中</t>
  </si>
  <si>
    <t>たばた</t>
    <phoneticPr fontId="26"/>
  </si>
  <si>
    <t>田畑</t>
  </si>
  <si>
    <t>たばたひで</t>
    <phoneticPr fontId="26"/>
  </si>
  <si>
    <t>田端</t>
  </si>
  <si>
    <t>なかのきょう</t>
    <phoneticPr fontId="26"/>
  </si>
  <si>
    <t>中野京</t>
  </si>
  <si>
    <t>なかのりえ</t>
    <phoneticPr fontId="26"/>
  </si>
  <si>
    <t>中野理</t>
  </si>
  <si>
    <t>ながひろ</t>
    <phoneticPr fontId="26"/>
  </si>
  <si>
    <t>長廣</t>
  </si>
  <si>
    <t>はせがわ</t>
    <phoneticPr fontId="26"/>
  </si>
  <si>
    <t>長谷川</t>
  </si>
  <si>
    <t>ひろさわ</t>
    <phoneticPr fontId="26"/>
  </si>
  <si>
    <t>廣澤</t>
  </si>
  <si>
    <t>ふくおか</t>
    <phoneticPr fontId="26"/>
  </si>
  <si>
    <t>福岡</t>
  </si>
  <si>
    <t>ませ</t>
    <phoneticPr fontId="26"/>
  </si>
  <si>
    <t>間瀬</t>
  </si>
  <si>
    <t>もんや</t>
    <phoneticPr fontId="26"/>
  </si>
  <si>
    <t>門矢</t>
  </si>
  <si>
    <t>よしはし</t>
    <phoneticPr fontId="26"/>
  </si>
  <si>
    <t>吉橋</t>
  </si>
  <si>
    <t>未定</t>
    <rPh sb="0" eb="2">
      <t>ミテイ</t>
    </rPh>
    <phoneticPr fontId="26"/>
  </si>
  <si>
    <t>ID</t>
    <phoneticPr fontId="26"/>
  </si>
  <si>
    <t>対応優先度</t>
    <rPh sb="0" eb="5">
      <t>タイオウユウセンド</t>
    </rPh>
    <phoneticPr fontId="22"/>
  </si>
  <si>
    <t>S</t>
    <phoneticPr fontId="22"/>
  </si>
  <si>
    <t>A</t>
    <phoneticPr fontId="22"/>
  </si>
  <si>
    <t>B</t>
    <phoneticPr fontId="22"/>
  </si>
  <si>
    <t>C</t>
    <phoneticPr fontId="22"/>
  </si>
  <si>
    <t>アクシデント</t>
  </si>
  <si>
    <t>不明</t>
  </si>
  <si>
    <t>アクシデント</t>
    <phoneticPr fontId="26"/>
  </si>
  <si>
    <t>その他</t>
  </si>
  <si>
    <t>I型</t>
    <phoneticPr fontId="22"/>
  </si>
  <si>
    <t>H型</t>
    <phoneticPr fontId="22"/>
  </si>
  <si>
    <t>J型</t>
    <phoneticPr fontId="22"/>
  </si>
  <si>
    <t>G型</t>
    <phoneticPr fontId="22"/>
  </si>
  <si>
    <t>A型</t>
    <phoneticPr fontId="22"/>
  </si>
  <si>
    <t>K型</t>
    <phoneticPr fontId="22"/>
  </si>
  <si>
    <t>商品統合管理室</t>
    <phoneticPr fontId="22"/>
  </si>
  <si>
    <t>B型</t>
    <phoneticPr fontId="22"/>
  </si>
  <si>
    <t>L型</t>
    <phoneticPr fontId="22"/>
  </si>
  <si>
    <t>インシデント</t>
    <phoneticPr fontId="26"/>
  </si>
  <si>
    <t>なし</t>
    <phoneticPr fontId="26"/>
  </si>
  <si>
    <t>WFCSVを
転記する</t>
    <phoneticPr fontId="22"/>
  </si>
  <si>
    <t>期間指定</t>
    <rPh sb="0" eb="2">
      <t>キカン</t>
    </rPh>
    <rPh sb="2" eb="4">
      <t>シテイ</t>
    </rPh>
    <phoneticPr fontId="22"/>
  </si>
  <si>
    <t>実施した対応</t>
    <phoneticPr fontId="22"/>
  </si>
  <si>
    <t>C型</t>
    <phoneticPr fontId="22"/>
  </si>
  <si>
    <t>必須</t>
  </si>
  <si>
    <t>入力日付</t>
  </si>
  <si>
    <t>対応優先度MAP</t>
    <rPh sb="0" eb="2">
      <t>タイオウ</t>
    </rPh>
    <rPh sb="2" eb="5">
      <t>ユウセンド</t>
    </rPh>
    <phoneticPr fontId="26"/>
  </si>
  <si>
    <t>対応優先度における納期目安</t>
  </si>
  <si>
    <t>ランク</t>
    <phoneticPr fontId="26"/>
  </si>
  <si>
    <t>分類</t>
    <rPh sb="0" eb="2">
      <t>ブンルイ</t>
    </rPh>
    <phoneticPr fontId="26"/>
  </si>
  <si>
    <t>割当
対象者</t>
    <rPh sb="3" eb="6">
      <t>タイショウシャシャ</t>
    </rPh>
    <phoneticPr fontId="26"/>
  </si>
  <si>
    <t>割当
タイミング</t>
    <phoneticPr fontId="26"/>
  </si>
  <si>
    <t>室長報告</t>
    <rPh sb="0" eb="2">
      <t>シツチョウ</t>
    </rPh>
    <rPh sb="2" eb="4">
      <t>ホウコク</t>
    </rPh>
    <phoneticPr fontId="26"/>
  </si>
  <si>
    <t>アクション</t>
    <phoneticPr fontId="26"/>
  </si>
  <si>
    <t>納期</t>
    <phoneticPr fontId="26"/>
  </si>
  <si>
    <t>B</t>
    <phoneticPr fontId="26"/>
  </si>
  <si>
    <t>A</t>
    <phoneticPr fontId="26"/>
  </si>
  <si>
    <t>S</t>
    <phoneticPr fontId="26"/>
  </si>
  <si>
    <t>OL以上</t>
    <rPh sb="2" eb="4">
      <t>イジョウ</t>
    </rPh>
    <phoneticPr fontId="26"/>
  </si>
  <si>
    <t>インシデント会</t>
    <rPh sb="6" eb="7">
      <t>カイ</t>
    </rPh>
    <phoneticPr fontId="26"/>
  </si>
  <si>
    <t>有</t>
    <phoneticPr fontId="26"/>
  </si>
  <si>
    <t>なぜなぜ分析シート、課題解決</t>
    <rPh sb="4" eb="6">
      <t>ブンセキシー</t>
    </rPh>
    <rPh sb="10" eb="12">
      <t>カダイ</t>
    </rPh>
    <rPh sb="12" eb="14">
      <t>カイケツ</t>
    </rPh>
    <phoneticPr fontId="26"/>
  </si>
  <si>
    <t>当月内解決</t>
    <phoneticPr fontId="26"/>
  </si>
  <si>
    <t>なぜなぜ分析シート、課題解決</t>
    <rPh sb="4" eb="6">
      <t>ブンセキシー</t>
    </rPh>
    <phoneticPr fontId="26"/>
  </si>
  <si>
    <t>数か月での解決</t>
    <rPh sb="0" eb="1">
      <t>スウ</t>
    </rPh>
    <rPh sb="2" eb="3">
      <t>ゲツ</t>
    </rPh>
    <phoneticPr fontId="26"/>
  </si>
  <si>
    <t>C</t>
    <phoneticPr fontId="26"/>
  </si>
  <si>
    <t>アクシデント
インシデント</t>
    <phoneticPr fontId="26"/>
  </si>
  <si>
    <t>期内解決</t>
    <rPh sb="0" eb="1">
      <t>キ</t>
    </rPh>
    <phoneticPr fontId="26"/>
  </si>
  <si>
    <t>全員</t>
    <rPh sb="0" eb="2">
      <t>ゼンイン</t>
    </rPh>
    <phoneticPr fontId="26"/>
  </si>
  <si>
    <t>事象発見時</t>
    <rPh sb="0" eb="2">
      <t>ジショウ</t>
    </rPh>
    <rPh sb="2" eb="4">
      <t>ハッケン</t>
    </rPh>
    <rPh sb="4" eb="5">
      <t>ジ</t>
    </rPh>
    <phoneticPr fontId="26"/>
  </si>
  <si>
    <t>一次対応、一次ヒアリング</t>
    <rPh sb="0" eb="2">
      <t>イチジ</t>
    </rPh>
    <rPh sb="2" eb="4">
      <t>タイオウ</t>
    </rPh>
    <rPh sb="5" eb="7">
      <t>イチジ</t>
    </rPh>
    <phoneticPr fontId="26"/>
  </si>
  <si>
    <t>即日対応</t>
    <rPh sb="0" eb="2">
      <t>ソクジツ</t>
    </rPh>
    <rPh sb="2" eb="4">
      <t>タイオウ</t>
    </rPh>
    <phoneticPr fontId="26"/>
  </si>
  <si>
    <t>判定方法</t>
  </si>
  <si>
    <t>重要度</t>
  </si>
  <si>
    <t>緊急度</t>
  </si>
  <si>
    <t>1.計上・・・高</t>
    <phoneticPr fontId="26"/>
  </si>
  <si>
    <t>1.4半期決算影響・・・高</t>
    <phoneticPr fontId="26"/>
  </si>
  <si>
    <t>2.支払・・・中</t>
    <phoneticPr fontId="26"/>
  </si>
  <si>
    <t>2.月次決算影響・・・中</t>
    <phoneticPr fontId="26"/>
  </si>
  <si>
    <t>3.契約・・・高</t>
    <phoneticPr fontId="26"/>
  </si>
  <si>
    <t>3.決算に影響なし・・・低</t>
    <phoneticPr fontId="26"/>
  </si>
  <si>
    <t>4.会計以外
　 バイヤー、取引先、お客様に影響・・・高</t>
    <rPh sb="2" eb="4">
      <t>カイケイ</t>
    </rPh>
    <rPh sb="4" eb="6">
      <t>イガイ</t>
    </rPh>
    <rPh sb="19" eb="21">
      <t>キャクサマ</t>
    </rPh>
    <phoneticPr fontId="26"/>
  </si>
  <si>
    <t>5.その他・・・低</t>
    <phoneticPr fontId="26"/>
  </si>
  <si>
    <t>システム開発不備</t>
    <phoneticPr fontId="22"/>
  </si>
  <si>
    <t>システム運用不備</t>
    <phoneticPr fontId="22"/>
  </si>
  <si>
    <t>記憶エラー</t>
  </si>
  <si>
    <t>認知エラー</t>
    <phoneticPr fontId="22"/>
  </si>
  <si>
    <t>判断エラー</t>
    <phoneticPr fontId="22"/>
  </si>
  <si>
    <t>行動エラー</t>
    <phoneticPr fontId="22"/>
  </si>
  <si>
    <t>あえて型エラー</t>
    <phoneticPr fontId="22"/>
  </si>
  <si>
    <t>1.記憶エラー・・・失念、思い込みミス</t>
  </si>
  <si>
    <t>2.認知エラー・・・見落とし、失念</t>
  </si>
  <si>
    <t>3.判断エラー・・・思い込みミス</t>
  </si>
  <si>
    <t>4.行動エラー・・・手入力ミス、ファイル移動ミス、保存ミス、コピペみす</t>
  </si>
  <si>
    <t>5.あえて型エラー・・・運用ルール違反</t>
  </si>
  <si>
    <t>緊急度</t>
    <rPh sb="0" eb="3">
      <t>キンキュウド</t>
    </rPh>
    <phoneticPr fontId="22"/>
  </si>
  <si>
    <t>再発性</t>
    <rPh sb="0" eb="3">
      <t>サイハツセイ</t>
    </rPh>
    <phoneticPr fontId="22"/>
  </si>
  <si>
    <t>対応優先度</t>
    <rPh sb="0" eb="2">
      <t>タイオウ</t>
    </rPh>
    <rPh sb="2" eb="5">
      <t>ユウセンド</t>
    </rPh>
    <phoneticPr fontId="22"/>
  </si>
  <si>
    <t>緊急性</t>
    <rPh sb="0" eb="3">
      <t>キンキュウセイ</t>
    </rPh>
    <phoneticPr fontId="22"/>
  </si>
  <si>
    <t>当月内対応</t>
    <phoneticPr fontId="26"/>
  </si>
  <si>
    <t>数か月内対応</t>
    <rPh sb="0" eb="1">
      <t>スウ</t>
    </rPh>
    <rPh sb="2" eb="3">
      <t>ゲツ</t>
    </rPh>
    <phoneticPr fontId="26"/>
  </si>
  <si>
    <t>期内対応</t>
    <rPh sb="0" eb="1">
      <t>キ</t>
    </rPh>
    <phoneticPr fontId="26"/>
  </si>
  <si>
    <t>1週間内対応</t>
    <rPh sb="1" eb="3">
      <t>シュウカン</t>
    </rPh>
    <rPh sb="3" eb="4">
      <t>ナイ</t>
    </rPh>
    <rPh sb="4" eb="6">
      <t>タイオウ</t>
    </rPh>
    <phoneticPr fontId="22"/>
  </si>
  <si>
    <t>対応優先度</t>
    <rPh sb="0" eb="2">
      <t>タイオウ</t>
    </rPh>
    <rPh sb="2" eb="5">
      <t>ユウセンド</t>
    </rPh>
    <phoneticPr fontId="22"/>
  </si>
  <si>
    <t>一次対応、即日</t>
    <rPh sb="2" eb="4">
      <t>タイオウ</t>
    </rPh>
    <rPh sb="5" eb="7">
      <t>ソクジツ</t>
    </rPh>
    <phoneticPr fontId="26"/>
  </si>
  <si>
    <t>決算影響なし</t>
    <phoneticPr fontId="22"/>
  </si>
  <si>
    <t>月次決算影響する</t>
    <phoneticPr fontId="22"/>
  </si>
  <si>
    <t>4半期決算影響する</t>
    <phoneticPr fontId="22"/>
  </si>
  <si>
    <t>ユーザーに影響する</t>
    <phoneticPr fontId="22"/>
  </si>
  <si>
    <t>再発している</t>
    <rPh sb="0" eb="2">
      <t>サイハツ</t>
    </rPh>
    <phoneticPr fontId="22"/>
  </si>
  <si>
    <t>件数</t>
    <rPh sb="0" eb="2">
      <t>ケンスウ</t>
    </rPh>
    <phoneticPr fontId="22"/>
  </si>
  <si>
    <t>ランク</t>
    <phoneticPr fontId="22"/>
  </si>
  <si>
    <t>評点</t>
    <rPh sb="0" eb="2">
      <t>ヒョウテン</t>
    </rPh>
    <phoneticPr fontId="26"/>
  </si>
  <si>
    <t>影響度</t>
    <rPh sb="0" eb="3">
      <t>エイキョウド</t>
    </rPh>
    <phoneticPr fontId="26"/>
  </si>
  <si>
    <t>頻度</t>
    <rPh sb="0" eb="2">
      <t>ヒンド</t>
    </rPh>
    <phoneticPr fontId="26"/>
  </si>
  <si>
    <t>３・４</t>
    <phoneticPr fontId="26"/>
  </si>
  <si>
    <t>５・６</t>
    <phoneticPr fontId="26"/>
  </si>
  <si>
    <t>７・８</t>
    <phoneticPr fontId="26"/>
  </si>
  <si>
    <t>９・１０</t>
    <phoneticPr fontId="26"/>
  </si>
  <si>
    <t>影響度</t>
    <rPh sb="0" eb="3">
      <t>エイキョウド</t>
    </rPh>
    <phoneticPr fontId="22"/>
  </si>
  <si>
    <t>頻度</t>
    <rPh sb="0" eb="2">
      <t>ヒンド</t>
    </rPh>
    <phoneticPr fontId="22"/>
  </si>
  <si>
    <t>アドレス</t>
    <phoneticPr fontId="22"/>
  </si>
  <si>
    <t>初期値</t>
    <rPh sb="0" eb="3">
      <t>ショキチ</t>
    </rPh>
    <phoneticPr fontId="22"/>
  </si>
  <si>
    <t>判定値</t>
    <rPh sb="0" eb="2">
      <t>ハンテイ</t>
    </rPh>
    <rPh sb="2" eb="3">
      <t>チ</t>
    </rPh>
    <phoneticPr fontId="22"/>
  </si>
  <si>
    <t>算出ランク</t>
    <rPh sb="0" eb="2">
      <t>サンシュツ</t>
    </rPh>
    <phoneticPr fontId="22"/>
  </si>
  <si>
    <t>再発
算出ランク</t>
    <rPh sb="0" eb="2">
      <t>サイハツ</t>
    </rPh>
    <rPh sb="3" eb="5">
      <t>サンシュツ</t>
    </rPh>
    <phoneticPr fontId="22"/>
  </si>
  <si>
    <t>リベート型</t>
  </si>
  <si>
    <t>影響を与えた
計上月</t>
    <phoneticPr fontId="22"/>
  </si>
  <si>
    <t>対象の金額</t>
  </si>
  <si>
    <t>納品時単価差異</t>
    <rPh sb="0" eb="2">
      <t>ノウヒン</t>
    </rPh>
    <rPh sb="2" eb="3">
      <t>ジ</t>
    </rPh>
    <rPh sb="3" eb="5">
      <t>タンカ</t>
    </rPh>
    <rPh sb="5" eb="7">
      <t>サイ</t>
    </rPh>
    <phoneticPr fontId="22"/>
  </si>
  <si>
    <t>posキャンペーン登録</t>
    <rPh sb="0" eb="11">
      <t>ポｓキャンペーントウロク</t>
    </rPh>
    <phoneticPr fontId="22"/>
  </si>
  <si>
    <t>見積計上</t>
    <rPh sb="0" eb="4">
      <t>ミツモリケイジョウ</t>
    </rPh>
    <phoneticPr fontId="22"/>
  </si>
  <si>
    <t>納品時単価差異</t>
    <phoneticPr fontId="22"/>
  </si>
  <si>
    <t>事象の経緯</t>
    <rPh sb="0" eb="2">
      <t>ジショウ</t>
    </rPh>
    <rPh sb="3" eb="5">
      <t>ケイイ</t>
    </rPh>
    <phoneticPr fontId="22"/>
  </si>
  <si>
    <t>再発性フラグ</t>
    <phoneticPr fontId="22"/>
  </si>
  <si>
    <t>担当</t>
    <rPh sb="0" eb="2">
      <t>タントウ</t>
    </rPh>
    <phoneticPr fontId="22"/>
  </si>
  <si>
    <t>納期</t>
    <rPh sb="0" eb="2">
      <t>ノウキ</t>
    </rPh>
    <phoneticPr fontId="22"/>
  </si>
  <si>
    <t>判定用関数数値</t>
    <rPh sb="0" eb="3">
      <t>ハンテイヨウ</t>
    </rPh>
    <rPh sb="3" eb="5">
      <t>カンスウ</t>
    </rPh>
    <rPh sb="5" eb="7">
      <t>スウチ</t>
    </rPh>
    <phoneticPr fontId="22"/>
  </si>
  <si>
    <t>事象の経緯</t>
    <rPh sb="0" eb="2">
      <t>ジショウ</t>
    </rPh>
    <rPh sb="3" eb="5">
      <t>ケイイ</t>
    </rPh>
    <phoneticPr fontId="22"/>
  </si>
  <si>
    <t>大分類</t>
    <phoneticPr fontId="22"/>
  </si>
  <si>
    <t>担当</t>
    <phoneticPr fontId="22"/>
  </si>
  <si>
    <t>納期</t>
    <phoneticPr fontId="22"/>
  </si>
  <si>
    <t>WFID:202101191581</t>
    <phoneticPr fontId="22"/>
  </si>
  <si>
    <t>フラグ</t>
    <phoneticPr fontId="22"/>
  </si>
  <si>
    <t>一次対応内容</t>
    <rPh sb="0" eb="2">
      <t>イチジ</t>
    </rPh>
    <rPh sb="2" eb="4">
      <t>タイオウ</t>
    </rPh>
    <phoneticPr fontId="22"/>
  </si>
  <si>
    <t>ログ</t>
    <phoneticPr fontId="22"/>
  </si>
  <si>
    <t>グレー帯</t>
    <rPh sb="3" eb="4">
      <t>オビ</t>
    </rPh>
    <phoneticPr fontId="22"/>
  </si>
  <si>
    <t>身体的数値</t>
    <rPh sb="0" eb="3">
      <t>シンタイテキ</t>
    </rPh>
    <rPh sb="3" eb="5">
      <t>スウチ</t>
    </rPh>
    <phoneticPr fontId="22"/>
  </si>
  <si>
    <t>経済的数値</t>
    <rPh sb="0" eb="3">
      <t>ケイザイテキ</t>
    </rPh>
    <rPh sb="3" eb="5">
      <t>スウチ</t>
    </rPh>
    <phoneticPr fontId="22"/>
  </si>
  <si>
    <t>信用度数値</t>
    <phoneticPr fontId="22"/>
  </si>
  <si>
    <t>対策基準数値</t>
    <rPh sb="0" eb="2">
      <t>タイサク</t>
    </rPh>
    <rPh sb="2" eb="4">
      <t>キジュン</t>
    </rPh>
    <rPh sb="4" eb="6">
      <t>スウチ</t>
    </rPh>
    <phoneticPr fontId="22"/>
  </si>
  <si>
    <t>発生頻度数値</t>
    <rPh sb="0" eb="2">
      <t>ハッセイ</t>
    </rPh>
    <rPh sb="2" eb="4">
      <t>ヒンド</t>
    </rPh>
    <rPh sb="4" eb="6">
      <t>スウチ</t>
    </rPh>
    <phoneticPr fontId="22"/>
  </si>
  <si>
    <t>posキャンペーン登録</t>
    <phoneticPr fontId="22"/>
  </si>
  <si>
    <t>インシデント</t>
    <phoneticPr fontId="22"/>
  </si>
  <si>
    <t>アクシデント</t>
    <phoneticPr fontId="22"/>
  </si>
  <si>
    <t>原因</t>
    <rPh sb="0" eb="2">
      <t>ゲンイン</t>
    </rPh>
    <phoneticPr fontId="26"/>
  </si>
  <si>
    <t>対象件数</t>
    <rPh sb="2" eb="4">
      <t>ケンスウ</t>
    </rPh>
    <phoneticPr fontId="26"/>
  </si>
  <si>
    <t>総件数</t>
    <rPh sb="0" eb="1">
      <t>ソウ</t>
    </rPh>
    <rPh sb="1" eb="3">
      <t>ケンスウ</t>
    </rPh>
    <phoneticPr fontId="22"/>
  </si>
  <si>
    <t>対応予定</t>
    <rPh sb="0" eb="2">
      <t>タイオウ</t>
    </rPh>
    <rPh sb="2" eb="4">
      <t>ヨテイ</t>
    </rPh>
    <phoneticPr fontId="22"/>
  </si>
  <si>
    <t>期間</t>
    <rPh sb="0" eb="2">
      <t>キカン</t>
    </rPh>
    <phoneticPr fontId="22"/>
  </si>
  <si>
    <t>金額</t>
    <rPh sb="0" eb="2">
      <t>キンガク</t>
    </rPh>
    <phoneticPr fontId="22"/>
  </si>
  <si>
    <t>合計</t>
    <rPh sb="0" eb="2">
      <t>ゴウケイ</t>
    </rPh>
    <phoneticPr fontId="22"/>
  </si>
  <si>
    <t>納期</t>
  </si>
  <si>
    <t>担当</t>
  </si>
  <si>
    <t>対応済み</t>
    <rPh sb="0" eb="2">
      <t>タイオウ</t>
    </rPh>
    <rPh sb="2" eb="3">
      <t>ズ</t>
    </rPh>
    <phoneticPr fontId="22"/>
  </si>
  <si>
    <t>見積計上</t>
    <phoneticPr fontId="22"/>
  </si>
  <si>
    <t>6月</t>
    <rPh sb="1" eb="2">
      <t>ガツ</t>
    </rPh>
    <phoneticPr fontId="22"/>
  </si>
  <si>
    <t>7月</t>
  </si>
  <si>
    <t>8月</t>
  </si>
  <si>
    <t>9月</t>
  </si>
  <si>
    <t>10月</t>
  </si>
  <si>
    <t>11月</t>
  </si>
  <si>
    <t>12月</t>
  </si>
  <si>
    <t>報告ベース</t>
    <rPh sb="0" eb="2">
      <t>ホウコク</t>
    </rPh>
    <phoneticPr fontId="22"/>
  </si>
  <si>
    <t>会計に影響を与えた金額</t>
    <phoneticPr fontId="22"/>
  </si>
  <si>
    <t>A型_アイリスオーヤマ_事前登録の依頼を受けたため、登録作業が追加で発生した</t>
  </si>
  <si>
    <t>B型_NEC_商談報告書内のエビデンスとする資料に誤ったJANが記載された</t>
  </si>
  <si>
    <t>G型_バッファロー_B型とG型の重複</t>
  </si>
  <si>
    <t>G型_東邦薬品_PIM登録間違いG型エビデンスミス</t>
  </si>
  <si>
    <t>再発防止策</t>
    <rPh sb="0" eb="2">
      <t>サイハツ</t>
    </rPh>
    <rPh sb="2" eb="4">
      <t>ボウシ</t>
    </rPh>
    <rPh sb="4" eb="5">
      <t>サク</t>
    </rPh>
    <phoneticPr fontId="22"/>
  </si>
  <si>
    <t>対応</t>
    <phoneticPr fontId="22"/>
  </si>
  <si>
    <t>G型以外</t>
    <rPh sb="2" eb="4">
      <t>イガイ</t>
    </rPh>
    <phoneticPr fontId="22"/>
  </si>
  <si>
    <t>完了</t>
  </si>
  <si>
    <t>一般的</t>
    <rPh sb="0" eb="2">
      <t>イッパン</t>
    </rPh>
    <rPh sb="2" eb="3">
      <t>テキ</t>
    </rPh>
    <phoneticPr fontId="22"/>
  </si>
  <si>
    <t>商品</t>
    <phoneticPr fontId="22"/>
  </si>
  <si>
    <t>商取引</t>
    <rPh sb="0" eb="3">
      <t>ショウトリヒキ</t>
    </rPh>
    <phoneticPr fontId="22"/>
  </si>
  <si>
    <t>リベートタイプ</t>
    <phoneticPr fontId="22"/>
  </si>
  <si>
    <t>D型</t>
    <phoneticPr fontId="22"/>
  </si>
  <si>
    <t>F型</t>
    <phoneticPr fontId="22"/>
  </si>
  <si>
    <t>E型</t>
    <phoneticPr fontId="22"/>
  </si>
  <si>
    <t>I型_JVCケンウッド_取引先からのメールが未送信のためセンターフィの計上漏れが発生</t>
  </si>
  <si>
    <t>取引先担当者へメール返信依頼を連絡した。登録完了。</t>
  </si>
  <si>
    <t>B型_アマゾン_B型とG型リベートの重複計上が発覚</t>
  </si>
  <si>
    <t>バイヤー事故情報共有リスト</t>
    <phoneticPr fontId="26"/>
  </si>
  <si>
    <t>経緯</t>
    <rPh sb="0" eb="2">
      <t>ケイイ</t>
    </rPh>
    <phoneticPr fontId="22"/>
  </si>
  <si>
    <t>インシデント
アクシデント</t>
    <phoneticPr fontId="26"/>
  </si>
  <si>
    <t>対応内容</t>
    <phoneticPr fontId="26"/>
  </si>
  <si>
    <t>対象金額</t>
    <phoneticPr fontId="22"/>
  </si>
  <si>
    <t xml:space="preserve">
商品登録情報の修正作業が発生した
_x000D_
原因：
取引先様による誤った商品情報を登録した為
</t>
  </si>
  <si>
    <t>202104020210の依頼をベースに商談報告書無しで登録を行いました（修正内容はバイヤー確認済）</t>
  </si>
  <si>
    <t xml:space="preserve">
アイリスオーヤマ様から商品情報を誤って登録した為、登録情報修正依頼が到着　4/2　16:15頃　（[34791-1]202104020210、商談報告書無し）
こちらが動く前に門脇さんがアイリスオーヤマ様と修正方法についてメールでのやり取りが始まった為登録を一旦保留に致しました（CCに商品統合管理室が入っていた為やり取りの内容は確認）
最終的に話し合いが終わり門脇さんからアイリスオーヤマ様へメールを返信したのが　同日19:27(メーカー営業終了)
門脇さんへ確認した所お客様対応中でお待たせしているので取引先よりの正式な登録依頼前に本日中に修正登録できないかの相談を受けました。</t>
  </si>
  <si>
    <t xml:space="preserve">
実売助成の証憑となる商談報告書に、実売助成のファイルが添付されていたが、JANコードが別の商品のJANコードが記載されていた
_x000D_
原因：
取引先のファイル作成時の誤り。
JANの張り間違い。コピペのミス。
</t>
  </si>
  <si>
    <t xml:space="preserve">終了日4/6に変更し正しい商品を登録した
</t>
  </si>
  <si>
    <t xml:space="preserve">
１．4/6_取引先よりB型申請　202104060718　開始日4/6
２．4/7_取引先よりB型修正依頼　202104070765
３．4/7_商談報告書に記載されたエビデンスとファイルが合致している事を確認
４．4/7_取引先に確認したところJANの記載を間違えた事を確認
５．4/7_修正実施</t>
  </si>
  <si>
    <t xml:space="preserve">
B型リベートとG型リベートが重複した
_x000D_
原因：
　・B型の登録をしたうえでG型も重複してバッファローから申請された
　・B型をG型の変わりに登録した事を取引先が失念していた為、
</t>
  </si>
  <si>
    <t xml:space="preserve">G型のマイナス登録した。
</t>
  </si>
  <si>
    <t xml:space="preserve">
１．B型の申請を登録した
２．その後、毎月のルーティンとしてG型を商品統合管理室宛に送付してしまった
３．G型と重複していた事が三月時点で発覚したので４月計上にて修正
</t>
  </si>
  <si>
    <t xml:space="preserve">PIMの商品登録時の単価を間違えた。
また、差額の請求をG型で受領したが、エビデンスの記載内容が符号を間違えていた。
誤った単価と正しい単価が逆であった。
_x000D_
原因：
人的ミス
</t>
  </si>
  <si>
    <t xml:space="preserve">202104050378 にてマイナスG型を登録した。
メンバーへpim登録ミスをアナウンスした。
</t>
  </si>
  <si>
    <t xml:space="preserve">
１．4/8にマイナス金額のG型を照合した。
２．リベート金額は-28014円、エビデンスには28014円と記載があった。
３．どちらが正しいか分からない為、取引先に連絡したところ、エビデンスの記載が間違えいたとの事。
４．PIMの登録ミスに関して中村バイヤーに商品統合管理室への連絡はしているか、またインシデント報告しているか問い合わせたところ、していないと報告受けた為、代行でインシデント報告行った。</t>
  </si>
  <si>
    <t xml:space="preserve">2020年12月計上のB型リベートと2021年2月計上のG型リベートに重複しているリベートがあることが発覚した。
_x000D_
原因：取引先と当社バイヤーの認識合わせが不十分だった。
取引先のリベート登録に関する知識不足。
B型リベートとG型リベートを計上前に突合する仕組みが無い。
</t>
  </si>
  <si>
    <t xml:space="preserve">
B型を取り消す為H型ファイルを計上した
</t>
  </si>
  <si>
    <t xml:space="preserve">
１．2020/12/14　B型条件登録申請
２．2021/2/25　取引先からG型リベートが送付された
３．2021/3/5　G型を2月分に計上
４．2021/4/2　経理室から重複計上の疑いの報告が岡島宛にあった。
５．2021/4/2　岡島からバイヤーに確認したところ重複であることが確認された</t>
  </si>
  <si>
    <t>G型_アスク_バイヤーと取引先様とで合意金額に認識齟齬があったため確認作業が発生した</t>
  </si>
  <si>
    <t xml:space="preserve">
　・登録された金額の確認作業が発生した
_x000D_
原因：
登録データとバイヤー認識の金額に差異があった
照合時にエビデンスに基づき修正していた、取引先様へ確認済み。
ダブルチェックが行われていなかった。
</t>
  </si>
  <si>
    <t xml:space="preserve">
金額に間違いはなかったので修正作業はなし
</t>
  </si>
  <si>
    <t xml:space="preserve">
１．12日に積み上げ按分されたデータを登録した
２．13日にバイヤー回収データと取引先から送付されたデータが違うと申告があった
３．調査した所、登録されたデータとバイヤー認識の金額に差あった事が発覚
</t>
  </si>
  <si>
    <t>L型_ラネット楽天_取引先様の設定選択ミスにより在庫対策費が発生した</t>
  </si>
  <si>
    <t xml:space="preserve">
　・在庫対策費の発生
_x000D_
原因：
　・原価変更の際に、在庫対策費の文言の記入がされていなかった為在庫対策費が発生した。消化仕入れ
</t>
  </si>
  <si>
    <t xml:space="preserve">H型4月計上にて登録した
</t>
  </si>
  <si>
    <t xml:space="preserve">
１．3/10摘要で原価変更を行った
２．原価が下がった為、発生した。
３．経理室からバイヤーにヒアリングがあり発生が判明した。
</t>
  </si>
  <si>
    <t>G型_取引先詳細別紙_交渉目安額メールスクショと商談報告書未添付のため照合時に例外運用をおこなった。</t>
  </si>
  <si>
    <t xml:space="preserve">新しいルールが運用されなかった
・交渉目安額のメールスクショが添付されなかった
・（定常エビデンスに加え、）商談報告書をPDFを添付する運用がされていなかった
_x000D_
原因：インシデント報告したため、原因調査は別対応とします。
</t>
  </si>
  <si>
    <t xml:space="preserve">
運用不備をインシデント報告し照合作業を過去運用にて進めた
</t>
  </si>
  <si>
    <t xml:space="preserve">
１．3月計上の照合を4月上旬に実施。
２．照合担当から相談頂くが、件数多数であった。
３．締め日を厳守する為、運用不備を一括でインシデント報告することとなった
４．倉地室長→佐藤副本部長、熊本部長に報告済み
５．結果、76件が不備であった。</t>
  </si>
  <si>
    <t>B型_日立・東芝_リベート条件開始日迄に登録ができなかった</t>
  </si>
  <si>
    <t xml:space="preserve">
B型の開始日迄に条件登録ができていなかった
東芝90,250　 日立36,400
_x000D_
原因：
取引先様からの申請メールが申請時間外だったため、
現運用において平日18時まで、お急ぎの場合はバイヤー、商品統合管理室へ要連絡としている。
4/17にメールディーラーをチェックしていない為
</t>
  </si>
  <si>
    <t xml:space="preserve">
4/18開始で登録。4/17分はG型で回収頂く様にバイヤーに依頼した
</t>
  </si>
  <si>
    <t xml:space="preserve">
１．4/16_19時以降に申請メールを受信
２．4/18_メールに気付く
３．4/18_WF申請して4/18開始で登録
</t>
  </si>
  <si>
    <t>H型にて4月計上登録予定</t>
  </si>
  <si>
    <t>A型_トラスコ中山_A型登録ルール外のインストアJAN作成作業発生</t>
  </si>
  <si>
    <t xml:space="preserve">A型登録ルール外のインストアJAN作成作業が発生した
_x000D_
原因：トラスコ中山が送信先メールアドレスを間違えた為
</t>
  </si>
  <si>
    <t xml:space="preserve">
サービスデスクからの転送メールにて登録を行った（登録用紙、商談報告書有）週明けにトラスコ中山より正式な作成依頼を頂いた。
</t>
  </si>
  <si>
    <t xml:space="preserve">
１．4/16夜間にサービスデスクよりお客様対応のインストアJAN作成依頼が取引先より送られていると思うので至急作成対応して欲しいと入電。
２．確認するとメールアドレスが間違っており商品統合管理室には届いていない事が判明、サービスデスクよりメールを転送するので作成対応出来ないか相談をうける。</t>
  </si>
  <si>
    <t>A型_IBS_取引先様が在庫対策費なしの文言を付加しなかった為在庫対策費と納品時単価差異の発生</t>
  </si>
  <si>
    <t xml:space="preserve">
　・在庫対策費と納品時単価差異が発生した
_x000D_
原因：
　・バイヤーから、取引先に在庫対策費なしの文言を記載するように伝えていたが、
　　取引先担当営業が誤訳し「在庫対策費なし」の文言を付加しなかった為、在庫対策費ありで登録を行った
</t>
  </si>
  <si>
    <t xml:space="preserve">
１．バイヤーと商談時に在庫対策費と納品時単価差異が発生しないように商談を行った
２．商品統合管理室宛にメールをしたが、文言の記載がなかった
３．リベート明細メールが先方の担当者に届いた事により発覚
４．バイヤーに確認した所、修正が必要となりH型にて訂正予定</t>
  </si>
  <si>
    <t>A型_東芝映像ソリューションズ_インストアJAN緊急作成依頼があった</t>
  </si>
  <si>
    <t xml:space="preserve">
　・A型インストアJANの作成依頼があった
_x000D_
原因：
　・商談が長引いた為、当初予定していたインストアJANの作成申請が遅くなった
</t>
  </si>
  <si>
    <t>A型インストアJAN発行して終了した</t>
  </si>
  <si>
    <t xml:space="preserve">
１．商談がされた。
２．商品仕入れの中で、インストアJANを使って仕入れを行う事になった
３．東芝側でインストアJANに張り替えを行う為、急ぎで発行が必要になった
４．担当に連絡して対応。　終了</t>
  </si>
  <si>
    <t xml:space="preserve">
１．経理よりＩ型みなし残（確定登録なし）リストをもらう
２．チェック中に未登録であることが分かる
</t>
  </si>
  <si>
    <t xml:space="preserve">Ｉ型センターフィ計上漏れ
_x000D_
原因：取引先からのメールが未送信
当社算出後、取引先からのメールの返信がなかった。
</t>
  </si>
  <si>
    <t>事故件数</t>
    <rPh sb="0" eb="2">
      <t>ジコ</t>
    </rPh>
    <rPh sb="2" eb="4">
      <t>ケンスウ</t>
    </rPh>
    <phoneticPr fontId="22"/>
  </si>
  <si>
    <t>41期事故件数推移グラフ（期間：前月21日～当月20日）報告ベース</t>
    <rPh sb="2" eb="3">
      <t>キ</t>
    </rPh>
    <rPh sb="3" eb="5">
      <t>ジコ</t>
    </rPh>
    <rPh sb="13" eb="15">
      <t>キカン</t>
    </rPh>
    <rPh sb="16" eb="18">
      <t>ゼンゲツ</t>
    </rPh>
    <rPh sb="20" eb="21">
      <t>ニチ</t>
    </rPh>
    <rPh sb="22" eb="24">
      <t>トウゲツ</t>
    </rPh>
    <rPh sb="26" eb="27">
      <t>ニチ</t>
    </rPh>
    <rPh sb="28" eb="30">
      <t>ホウコク</t>
    </rPh>
    <phoneticPr fontId="22"/>
  </si>
  <si>
    <t>9月計上</t>
    <rPh sb="2" eb="4">
      <t>ケイジョウ</t>
    </rPh>
    <phoneticPr fontId="22"/>
  </si>
  <si>
    <t>10月計上</t>
    <rPh sb="3" eb="5">
      <t>ケイジョウ</t>
    </rPh>
    <phoneticPr fontId="22"/>
  </si>
  <si>
    <t>11月計上</t>
    <rPh sb="3" eb="5">
      <t>ケイジョウ</t>
    </rPh>
    <phoneticPr fontId="22"/>
  </si>
  <si>
    <t>12月計上</t>
    <rPh sb="3" eb="5">
      <t>ケイジョウ</t>
    </rPh>
    <phoneticPr fontId="22"/>
  </si>
  <si>
    <t>2021年１月計上</t>
    <rPh sb="4" eb="5">
      <t>ネン</t>
    </rPh>
    <rPh sb="5" eb="7">
      <t>イチガツ</t>
    </rPh>
    <phoneticPr fontId="22"/>
  </si>
  <si>
    <t>2021年２月計上</t>
    <rPh sb="4" eb="5">
      <t>ネン</t>
    </rPh>
    <phoneticPr fontId="22"/>
  </si>
  <si>
    <t>2021年３月計上</t>
    <rPh sb="4" eb="5">
      <t>ネン</t>
    </rPh>
    <phoneticPr fontId="22"/>
  </si>
  <si>
    <t>2021年４月計上</t>
    <rPh sb="4" eb="5">
      <t>ネン</t>
    </rPh>
    <phoneticPr fontId="22"/>
  </si>
  <si>
    <t>41期事故件数推移グラフ（期間：前月21日～当月20日）報告ベース</t>
    <phoneticPr fontId="22"/>
  </si>
  <si>
    <t>対象金額合計（グレー部分除く絶対値）</t>
    <rPh sb="2" eb="4">
      <t>キンガク</t>
    </rPh>
    <rPh sb="4" eb="6">
      <t>ゴウケイ</t>
    </rPh>
    <rPh sb="10" eb="12">
      <t>ブブン</t>
    </rPh>
    <rPh sb="12" eb="13">
      <t>ノゾ</t>
    </rPh>
    <phoneticPr fontId="26"/>
  </si>
  <si>
    <t>機密</t>
    <rPh sb="0" eb="2">
      <t>キミツ</t>
    </rPh>
    <phoneticPr fontId="22"/>
  </si>
  <si>
    <t>復旧
担当</t>
    <rPh sb="0" eb="2">
      <t>フッキュウ</t>
    </rPh>
    <phoneticPr fontId="26"/>
  </si>
  <si>
    <t>再発
担当</t>
    <rPh sb="0" eb="2">
      <t>サイハツ</t>
    </rPh>
    <rPh sb="3" eb="5">
      <t>タントウ</t>
    </rPh>
    <phoneticPr fontId="26"/>
  </si>
  <si>
    <t>復旧作業完了フラグ</t>
    <phoneticPr fontId="22"/>
  </si>
  <si>
    <t>再発防止策完了フラグ</t>
    <phoneticPr fontId="22"/>
  </si>
  <si>
    <t>2021年５月計上</t>
    <rPh sb="4" eb="5">
      <t>ネン</t>
    </rPh>
    <phoneticPr fontId="22"/>
  </si>
  <si>
    <t>グレー部分は計上には影響なし</t>
    <rPh sb="3" eb="5">
      <t>ブブン</t>
    </rPh>
    <rPh sb="6" eb="8">
      <t>ケイジョウ</t>
    </rPh>
    <rPh sb="10" eb="12">
      <t>エイキョウ</t>
    </rPh>
    <phoneticPr fontId="22"/>
  </si>
  <si>
    <t>グラフ</t>
    <phoneticPr fontId="22"/>
  </si>
  <si>
    <t>※リベート型がないものは除く</t>
    <phoneticPr fontId="22"/>
  </si>
  <si>
    <t>実施予定の対策</t>
    <phoneticPr fontId="22"/>
  </si>
  <si>
    <t>復旧作業対応フラグ</t>
    <rPh sb="0" eb="4">
      <t>フッキュウサギョウ</t>
    </rPh>
    <rPh sb="4" eb="6">
      <t>タイオウ</t>
    </rPh>
    <phoneticPr fontId="22"/>
  </si>
  <si>
    <t>システム</t>
    <phoneticPr fontId="22"/>
  </si>
  <si>
    <t>問題管理へ移行済み</t>
    <phoneticPr fontId="22"/>
  </si>
  <si>
    <t>2021年６月計上</t>
    <rPh sb="4" eb="5">
      <t>ネン</t>
    </rPh>
    <phoneticPr fontId="22"/>
  </si>
  <si>
    <t>★</t>
    <phoneticPr fontId="22"/>
  </si>
  <si>
    <t>★</t>
    <phoneticPr fontId="22"/>
  </si>
  <si>
    <t>内部統制室、アクシデント追跡一覧</t>
    <rPh sb="0" eb="5">
      <t>ナイブトウセイシツ</t>
    </rPh>
    <rPh sb="12" eb="14">
      <t>ツイセキ</t>
    </rPh>
    <rPh sb="14" eb="16">
      <t>イチラン</t>
    </rPh>
    <phoneticPr fontId="22"/>
  </si>
  <si>
    <t>成果物提出フラグ</t>
    <phoneticPr fontId="22"/>
  </si>
  <si>
    <t>追跡用</t>
    <rPh sb="0" eb="3">
      <t>ツイセキヨウ</t>
    </rPh>
    <phoneticPr fontId="22"/>
  </si>
  <si>
    <t>成果物提出フラグ</t>
    <phoneticPr fontId="22"/>
  </si>
  <si>
    <t>報告済み</t>
    <phoneticPr fontId="22"/>
  </si>
  <si>
    <t>進捗</t>
    <phoneticPr fontId="22"/>
  </si>
  <si>
    <t>実施した対応</t>
    <rPh sb="0" eb="2">
      <t>ジッシ</t>
    </rPh>
    <rPh sb="4" eb="6">
      <t>タイオウ</t>
    </rPh>
    <phoneticPr fontId="22"/>
  </si>
  <si>
    <t>問題管理へ移行済み</t>
    <phoneticPr fontId="22"/>
  </si>
  <si>
    <t>2021年７月計上</t>
    <rPh sb="4" eb="5">
      <t>ネン</t>
    </rPh>
    <phoneticPr fontId="22"/>
  </si>
  <si>
    <t>復旧
対応</t>
    <rPh sb="0" eb="2">
      <t>フッキュウ</t>
    </rPh>
    <rPh sb="3" eb="5">
      <t>タイオウ</t>
    </rPh>
    <phoneticPr fontId="26"/>
  </si>
  <si>
    <t>原価リベート</t>
    <rPh sb="0" eb="2">
      <t>ゲンカ</t>
    </rPh>
    <phoneticPr fontId="22"/>
  </si>
  <si>
    <t>posキャンペーン登録</t>
    <rPh sb="9" eb="11">
      <t>トウロク</t>
    </rPh>
    <phoneticPr fontId="26"/>
  </si>
  <si>
    <t>開始日は前回の提出日付を確認する。20日締め、追加分の漏れ防止</t>
    <rPh sb="0" eb="2">
      <t>カイシ</t>
    </rPh>
    <rPh sb="2" eb="3">
      <t>ビ</t>
    </rPh>
    <rPh sb="4" eb="6">
      <t>ゼンカイ</t>
    </rPh>
    <rPh sb="27" eb="28">
      <t>モ</t>
    </rPh>
    <rPh sb="29" eb="31">
      <t>ボウシ</t>
    </rPh>
    <phoneticPr fontId="22"/>
  </si>
  <si>
    <t>WF訂正分更新済み</t>
    <rPh sb="2" eb="4">
      <t>テイセイ</t>
    </rPh>
    <rPh sb="4" eb="5">
      <t>ブン</t>
    </rPh>
    <rPh sb="5" eb="7">
      <t>コウシン</t>
    </rPh>
    <rPh sb="7" eb="8">
      <t>ズ</t>
    </rPh>
    <phoneticPr fontId="22"/>
  </si>
  <si>
    <t>2021年８月計上</t>
    <rPh sb="4" eb="5">
      <t>ネン</t>
    </rPh>
    <phoneticPr fontId="22"/>
  </si>
  <si>
    <t>販促リベート</t>
    <phoneticPr fontId="22"/>
  </si>
  <si>
    <t>報告なし</t>
    <rPh sb="0" eb="2">
      <t>ホウコク</t>
    </rPh>
    <phoneticPr fontId="22"/>
  </si>
  <si>
    <t>事実情報</t>
    <rPh sb="0" eb="2">
      <t>ジジツ</t>
    </rPh>
    <rPh sb="2" eb="4">
      <t>ジョウホウ</t>
    </rPh>
    <phoneticPr fontId="22"/>
  </si>
  <si>
    <t>事実情報</t>
    <rPh sb="0" eb="2">
      <t>ジジツ</t>
    </rPh>
    <rPh sb="2" eb="4">
      <t>ジョウホウ</t>
    </rPh>
    <phoneticPr fontId="22"/>
  </si>
  <si>
    <t>ピンク箇所</t>
    <rPh sb="3" eb="5">
      <t>カショ</t>
    </rPh>
    <phoneticPr fontId="22"/>
  </si>
  <si>
    <t>9月</t>
    <phoneticPr fontId="22"/>
  </si>
  <si>
    <t>1月</t>
  </si>
  <si>
    <t>2月</t>
  </si>
  <si>
    <t>3月</t>
  </si>
  <si>
    <t>4月</t>
  </si>
  <si>
    <t>5月</t>
  </si>
  <si>
    <t>6月</t>
  </si>
  <si>
    <t>申請ベース</t>
    <phoneticPr fontId="22"/>
  </si>
  <si>
    <t>申請件数</t>
    <rPh sb="0" eb="2">
      <t>シンセイ</t>
    </rPh>
    <rPh sb="2" eb="4">
      <t>ケンスウ</t>
    </rPh>
    <phoneticPr fontId="22"/>
  </si>
  <si>
    <t>１Q</t>
    <phoneticPr fontId="22"/>
  </si>
  <si>
    <t>２Q</t>
  </si>
  <si>
    <t>３Q</t>
  </si>
  <si>
    <t>４Q</t>
  </si>
  <si>
    <t>復旧作業完了比率</t>
    <rPh sb="0" eb="2">
      <t>フッキュウ</t>
    </rPh>
    <rPh sb="2" eb="4">
      <t>サギョウ</t>
    </rPh>
    <rPh sb="4" eb="6">
      <t>カンリョウ</t>
    </rPh>
    <rPh sb="6" eb="8">
      <t>ヒリツ</t>
    </rPh>
    <phoneticPr fontId="22"/>
  </si>
  <si>
    <t>再発防止策完了比率</t>
    <rPh sb="0" eb="2">
      <t>サイハツ</t>
    </rPh>
    <rPh sb="2" eb="4">
      <t>ボウシ</t>
    </rPh>
    <rPh sb="4" eb="5">
      <t>サク</t>
    </rPh>
    <rPh sb="5" eb="7">
      <t>カンリョウ</t>
    </rPh>
    <rPh sb="7" eb="9">
      <t>ヒリツ</t>
    </rPh>
    <phoneticPr fontId="22"/>
  </si>
  <si>
    <t>復旧作業完了件数</t>
    <rPh sb="4" eb="6">
      <t>カンリョウ</t>
    </rPh>
    <rPh sb="6" eb="8">
      <t>ケンスウ</t>
    </rPh>
    <phoneticPr fontId="22"/>
  </si>
  <si>
    <t>再発防止策完了件数</t>
    <rPh sb="5" eb="7">
      <t>カンリョウ</t>
    </rPh>
    <rPh sb="7" eb="9">
      <t>ケンスウ</t>
    </rPh>
    <phoneticPr fontId="22"/>
  </si>
  <si>
    <t>空白以外をカウント</t>
    <rPh sb="0" eb="2">
      <t>クウハク</t>
    </rPh>
    <rPh sb="2" eb="4">
      <t>イガイ</t>
    </rPh>
    <phoneticPr fontId="22"/>
  </si>
  <si>
    <t>●をカウント</t>
    <phoneticPr fontId="22"/>
  </si>
  <si>
    <t>全てのタスク完了をカウント</t>
    <rPh sb="6" eb="8">
      <t>カンリョウ</t>
    </rPh>
    <phoneticPr fontId="22"/>
  </si>
  <si>
    <t>発生日</t>
  </si>
  <si>
    <t>復旧作業完了フラグ</t>
  </si>
  <si>
    <t>取引先様名</t>
  </si>
  <si>
    <t>発生場所</t>
  </si>
  <si>
    <t>実施した対応①</t>
  </si>
  <si>
    <t>実施した対応②</t>
  </si>
  <si>
    <t>実施した対応③</t>
  </si>
  <si>
    <t>会計に影響を与えた金額</t>
    <phoneticPr fontId="22"/>
  </si>
  <si>
    <t>3Q</t>
    <phoneticPr fontId="22"/>
  </si>
  <si>
    <t>4Q</t>
    <phoneticPr fontId="22"/>
  </si>
  <si>
    <t>リベート計上漏れ</t>
    <phoneticPr fontId="22"/>
  </si>
  <si>
    <t>リベートと重複計上</t>
  </si>
  <si>
    <t>リベート申請誤り</t>
  </si>
  <si>
    <t>自部署</t>
  </si>
  <si>
    <t>取引先</t>
    <phoneticPr fontId="22"/>
  </si>
  <si>
    <t>自部署</t>
    <phoneticPr fontId="22"/>
  </si>
  <si>
    <t>自部署</t>
    <phoneticPr fontId="22"/>
  </si>
  <si>
    <t>取引先による2度の申請</t>
    <phoneticPr fontId="22"/>
  </si>
  <si>
    <t>K型</t>
    <phoneticPr fontId="9"/>
  </si>
  <si>
    <t>リベートと重複計上</t>
    <phoneticPr fontId="22"/>
  </si>
  <si>
    <t>取引先による2度の申請により重複計上が発生した</t>
    <phoneticPr fontId="22"/>
  </si>
  <si>
    <t>リベート計上漏れ</t>
    <phoneticPr fontId="22"/>
  </si>
  <si>
    <t>会社</t>
    <phoneticPr fontId="22"/>
  </si>
  <si>
    <t>計上漏れが発覚した</t>
    <phoneticPr fontId="22"/>
  </si>
  <si>
    <t>G型</t>
    <phoneticPr fontId="9"/>
  </si>
  <si>
    <t>会社</t>
    <phoneticPr fontId="22"/>
  </si>
  <si>
    <t>計上漏れが発覚した</t>
    <phoneticPr fontId="22"/>
  </si>
  <si>
    <t>システム登録が漏れたため</t>
    <phoneticPr fontId="22"/>
  </si>
  <si>
    <t>取引先のリベートの申請不備</t>
    <phoneticPr fontId="22"/>
  </si>
  <si>
    <t>リベート申請誤り</t>
    <phoneticPr fontId="22"/>
  </si>
  <si>
    <t>取引先のリベートの申請不備による誤計上が発生した</t>
    <phoneticPr fontId="22"/>
  </si>
  <si>
    <t>影響対象：自部署_x000D_
発生内容：取引先による2度の申請により重複計上が発生した_x000D_
事象経緯：</t>
  </si>
  <si>
    <t>影響対象：自部署_x000D_
発生内容：取引先のリベートの申請不備による誤計上が発生した_x000D_
事象経緯：</t>
  </si>
  <si>
    <t>A社</t>
  </si>
  <si>
    <t>C社</t>
  </si>
  <si>
    <t>原因：取引先による2度の申請_x000D_
_x000D_
一次対応：</t>
    <phoneticPr fontId="22"/>
  </si>
  <si>
    <t>原因：取引先のリベートの申請不備_x000D_
_x000D_
一次対応：</t>
    <phoneticPr fontId="22"/>
  </si>
  <si>
    <t>低</t>
    <phoneticPr fontId="22"/>
  </si>
  <si>
    <t>B社</t>
    <phoneticPr fontId="22"/>
  </si>
  <si>
    <t>A社</t>
    <phoneticPr fontId="22"/>
  </si>
  <si>
    <t>C社</t>
    <phoneticPr fontId="22"/>
  </si>
  <si>
    <t>完了</t>
    <rPh sb="0" eb="2">
      <t>カンリョウ</t>
    </rPh>
    <phoneticPr fontId="2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</si>
</sst>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7" formatCode="&quot;¥&quot;#,##0_);\(&quot;¥&quot;#,##0\)"/>
    <numFmt numFmtId="178" formatCode="&quot;¥&quot;#,##0_);[Red]\(&quot;¥&quot;#,##0\)"/>
    <numFmt numFmtId="179" formatCode="yyyy/m/d;@"/>
    <numFmt numFmtId="180" formatCode="yyyy&quot;年&quot;m&quot;月度&quot;"/>
    <numFmt numFmtId="181" formatCode="0_);[Red]\(0\)"/>
    <numFmt numFmtId="182" formatCode="m/d"/>
    <numFmt numFmtId="183" formatCode="yyyy/m&quot;月度&quot;"/>
    <numFmt numFmtId="185" formatCode=";;;"/>
  </numFmts>
  <fonts count="89" x14ac:knownFonts="1">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Meiryo UI"/>
      <family val="2"/>
      <charset val="128"/>
    </font>
    <font>
      <b/>
      <sz val="11"/>
      <color theme="1"/>
      <name val="Meiryo UI"/>
      <family val="3"/>
      <charset val="128"/>
    </font>
    <font>
      <sz val="11"/>
      <color theme="1"/>
      <name val="Meiryo UI"/>
      <family val="3"/>
      <charset val="128"/>
    </font>
    <font>
      <b/>
      <sz val="11"/>
      <color theme="1"/>
      <name val="ＭＳ Ｐゴシック"/>
      <family val="3"/>
      <charset val="128"/>
      <scheme val="minor"/>
    </font>
    <font>
      <sz val="6"/>
      <name val="ＭＳ Ｐゴシック"/>
      <family val="2"/>
      <charset val="128"/>
      <scheme val="minor"/>
    </font>
    <font>
      <b/>
      <u val="double"/>
      <sz val="22"/>
      <color theme="1"/>
      <name val="ＭＳ Ｐゴシック"/>
      <family val="3"/>
      <charset val="128"/>
      <scheme val="minor"/>
    </font>
    <font>
      <b/>
      <sz val="20"/>
      <color theme="1"/>
      <name val="ＭＳ Ｐゴシック"/>
      <family val="3"/>
      <charset val="128"/>
      <scheme val="minor"/>
    </font>
    <font>
      <b/>
      <sz val="16"/>
      <color theme="1"/>
      <name val="ＭＳ Ｐゴシック"/>
      <family val="3"/>
      <charset val="128"/>
      <scheme val="minor"/>
    </font>
    <font>
      <b/>
      <sz val="18"/>
      <color theme="1"/>
      <name val="ＭＳ Ｐゴシック"/>
      <family val="3"/>
      <charset val="128"/>
      <scheme val="minor"/>
    </font>
    <font>
      <sz val="14"/>
      <color theme="1"/>
      <name val="ＭＳ Ｐゴシック"/>
      <family val="2"/>
      <charset val="128"/>
      <scheme val="minor"/>
    </font>
    <font>
      <sz val="16"/>
      <color theme="1"/>
      <name val="ＭＳ Ｐゴシック"/>
      <family val="2"/>
      <charset val="128"/>
      <scheme val="minor"/>
    </font>
    <font>
      <b/>
      <sz val="14"/>
      <color theme="1"/>
      <name val="ＭＳ Ｐゴシック"/>
      <family val="3"/>
      <charset val="128"/>
      <scheme val="minor"/>
    </font>
    <font>
      <sz val="12"/>
      <color theme="1"/>
      <name val="ＭＳ Ｐゴシック"/>
      <family val="2"/>
      <charset val="128"/>
      <scheme val="minor"/>
    </font>
    <font>
      <sz val="12"/>
      <color theme="1"/>
      <name val="ＭＳ Ｐゴシック"/>
      <family val="3"/>
      <charset val="128"/>
      <scheme val="minor"/>
    </font>
    <font>
      <sz val="20"/>
      <color theme="1"/>
      <name val="ＭＳ Ｐゴシック"/>
      <family val="2"/>
      <charset val="128"/>
      <scheme val="minor"/>
    </font>
    <font>
      <sz val="14"/>
      <color theme="1"/>
      <name val="ＭＳ Ｐゴシック"/>
      <family val="3"/>
      <charset val="128"/>
      <scheme val="minor"/>
    </font>
    <font>
      <sz val="9"/>
      <color theme="1"/>
      <name val="Meiryo UI"/>
      <family val="3"/>
      <charset val="128"/>
    </font>
    <font>
      <sz val="11"/>
      <color theme="1"/>
      <name val="Meiryo UI"/>
      <family val="2"/>
      <charset val="128"/>
    </font>
    <font>
      <sz val="12"/>
      <color theme="1"/>
      <name val="Meiryo UI"/>
      <family val="3"/>
      <charset val="128"/>
    </font>
    <font>
      <sz val="10"/>
      <color rgb="FF202124"/>
      <name val="Meiryo UI"/>
      <family val="3"/>
      <charset val="128"/>
    </font>
    <font>
      <b/>
      <sz val="12"/>
      <color theme="1"/>
      <name val="Meiryo UI"/>
      <family val="3"/>
      <charset val="128"/>
    </font>
    <font>
      <b/>
      <sz val="14"/>
      <color theme="1"/>
      <name val="Meiryo UI"/>
      <family val="3"/>
      <charset val="128"/>
    </font>
    <font>
      <b/>
      <sz val="20"/>
      <name val="Meiryo UI"/>
      <family val="3"/>
      <charset val="128"/>
    </font>
    <font>
      <i/>
      <sz val="12"/>
      <color theme="1"/>
      <name val="Meiryo UI"/>
      <family val="3"/>
      <charset val="128"/>
    </font>
    <font>
      <sz val="12"/>
      <color rgb="FF000000"/>
      <name val="Meiryo UI"/>
      <family val="3"/>
      <charset val="128"/>
    </font>
    <font>
      <b/>
      <sz val="12"/>
      <color rgb="FFC00000"/>
      <name val="Meiryo UI"/>
      <family val="3"/>
      <charset val="128"/>
    </font>
    <font>
      <b/>
      <sz val="14"/>
      <name val="Meiryo UI"/>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57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rgb="FF202124"/>
      <name val="Meiryo UI"/>
      <family val="3"/>
      <charset val="128"/>
    </font>
    <font>
      <sz val="11"/>
      <color rgb="FF000000"/>
      <name val="Meiryo UI"/>
      <family val="3"/>
      <charset val="128"/>
    </font>
    <font>
      <b/>
      <sz val="18"/>
      <color theme="1"/>
      <name val="Meiryo UI"/>
      <family val="3"/>
      <charset val="128"/>
    </font>
    <font>
      <sz val="11"/>
      <color rgb="FF000000"/>
      <name val="游ゴシック"/>
      <family val="3"/>
      <charset val="128"/>
    </font>
    <font>
      <sz val="20"/>
      <name val="Meiryo UI"/>
      <family val="3"/>
      <charset val="128"/>
    </font>
    <font>
      <b/>
      <sz val="12"/>
      <color theme="0"/>
      <name val="Meiryo UI"/>
      <family val="3"/>
      <charset val="128"/>
    </font>
    <font>
      <b/>
      <sz val="12"/>
      <name val="Meiryo UI"/>
      <family val="3"/>
      <charset val="128"/>
    </font>
    <font>
      <b/>
      <sz val="11"/>
      <color theme="0"/>
      <name val="Meiryo UI"/>
      <family val="3"/>
      <charset val="128"/>
    </font>
    <font>
      <b/>
      <sz val="16"/>
      <color theme="0"/>
      <name val="Meiryo UI"/>
      <family val="3"/>
      <charset val="128"/>
    </font>
    <font>
      <b/>
      <sz val="20"/>
      <color theme="1"/>
      <name val="Meiryo UI"/>
      <family val="3"/>
      <charset val="128"/>
    </font>
    <font>
      <sz val="11"/>
      <color theme="0"/>
      <name val="Meiryo UI"/>
      <family val="3"/>
      <charset val="128"/>
    </font>
    <font>
      <b/>
      <sz val="12"/>
      <color rgb="FF000000"/>
      <name val="Meiryo UI"/>
      <family val="3"/>
      <charset val="128"/>
    </font>
    <font>
      <sz val="11"/>
      <color theme="0" tint="-0.499984740745262"/>
      <name val="Meiryo UI"/>
      <family val="3"/>
      <charset val="128"/>
    </font>
    <font>
      <sz val="12"/>
      <color theme="0" tint="-0.499984740745262"/>
      <name val="Meiryo UI"/>
      <family val="3"/>
      <charset val="128"/>
    </font>
    <font>
      <u/>
      <sz val="11"/>
      <color theme="10"/>
      <name val="ＭＳ Ｐゴシック"/>
      <family val="2"/>
      <charset val="128"/>
      <scheme val="minor"/>
    </font>
    <font>
      <b/>
      <sz val="11"/>
      <name val="Meiryo UI"/>
      <family val="3"/>
      <charset val="128"/>
    </font>
    <font>
      <sz val="12"/>
      <name val="Meiryo UI"/>
      <family val="3"/>
      <charset val="128"/>
    </font>
    <font>
      <sz val="11"/>
      <color rgb="FFFF0000"/>
      <name val="Meiryo UI"/>
      <family val="3"/>
      <charset val="128"/>
    </font>
    <font>
      <sz val="12"/>
      <color rgb="FFFF0000"/>
      <name val="Meiryo UI"/>
      <family val="3"/>
      <charset val="128"/>
    </font>
    <font>
      <sz val="9"/>
      <name val="Meiryo UI"/>
      <family val="3"/>
      <charset val="128"/>
    </font>
    <font>
      <b/>
      <sz val="9"/>
      <color theme="1"/>
      <name val="Meiryo UI"/>
      <family val="3"/>
      <charset val="128"/>
    </font>
    <font>
      <b/>
      <sz val="9"/>
      <name val="Meiryo UI"/>
      <family val="3"/>
      <charset val="128"/>
    </font>
    <font>
      <sz val="9"/>
      <color rgb="FFFF0000"/>
      <name val="Meiryo UI"/>
      <family val="3"/>
      <charset val="128"/>
    </font>
    <font>
      <sz val="9"/>
      <color rgb="FF000000"/>
      <name val="Meiryo UI"/>
      <family val="3"/>
      <charset val="128"/>
    </font>
  </fonts>
  <fills count="6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lightGray">
        <bgColor theme="0" tint="-0.249977111117893"/>
      </patternFill>
    </fill>
    <fill>
      <patternFill patternType="gray0625">
        <bgColor theme="0" tint="-4.9989318521683403E-2"/>
      </patternFill>
    </fill>
    <fill>
      <patternFill patternType="solid">
        <fgColor theme="0"/>
        <bgColor indexed="64"/>
      </patternFill>
    </fill>
    <fill>
      <patternFill patternType="solid">
        <fgColor theme="0" tint="-0.249977111117893"/>
        <bgColor indexed="64"/>
      </patternFill>
    </fill>
    <fill>
      <patternFill patternType="solid">
        <fgColor rgb="FFFFF3F3"/>
        <bgColor indexed="64"/>
      </patternFill>
    </fill>
    <fill>
      <patternFill patternType="solid">
        <fgColor rgb="FFFFC00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9" tint="0.59999389629810485"/>
        <bgColor indexed="64"/>
      </patternFill>
    </fill>
    <fill>
      <patternFill patternType="solid">
        <fgColor rgb="FFC00000"/>
        <bgColor indexed="64"/>
      </patternFill>
    </fill>
    <fill>
      <patternFill patternType="solid">
        <fgColor theme="8" tint="-0.499984740745262"/>
        <bgColor indexed="64"/>
      </patternFill>
    </fill>
    <fill>
      <patternFill patternType="solid">
        <fgColor rgb="FFFF0000"/>
        <bgColor indexed="64"/>
      </patternFill>
    </fill>
    <fill>
      <patternFill patternType="solid">
        <fgColor theme="4" tint="-0.249977111117893"/>
        <bgColor indexed="64"/>
      </patternFill>
    </fill>
    <fill>
      <patternFill patternType="solid">
        <fgColor theme="4" tint="-0.249977111117893"/>
        <bgColor theme="4"/>
      </patternFill>
    </fill>
    <fill>
      <patternFill patternType="solid">
        <fgColor theme="0" tint="-0.14999847407452621"/>
        <bgColor rgb="FF000000"/>
      </patternFill>
    </fill>
    <fill>
      <patternFill patternType="solid">
        <fgColor theme="8" tint="0.59999389629810485"/>
        <bgColor indexed="64"/>
      </patternFill>
    </fill>
    <fill>
      <patternFill patternType="solid">
        <fgColor rgb="FFFFFF99"/>
        <bgColor indexed="64"/>
      </patternFill>
    </fill>
    <fill>
      <patternFill patternType="solid">
        <fgColor rgb="FF008000"/>
        <bgColor indexed="64"/>
      </patternFill>
    </fill>
    <fill>
      <patternFill patternType="solid">
        <fgColor rgb="FFFC9E04"/>
        <bgColor indexed="64"/>
      </patternFill>
    </fill>
    <fill>
      <patternFill patternType="solid">
        <fgColor rgb="FF0070C0"/>
        <bgColor indexed="64"/>
      </patternFill>
    </fill>
    <fill>
      <patternFill patternType="solid">
        <fgColor rgb="FF7030A0"/>
        <bgColor indexed="64"/>
      </patternFill>
    </fill>
    <fill>
      <patternFill patternType="solid">
        <fgColor rgb="FF33CCFF"/>
        <bgColor indexed="64"/>
      </patternFill>
    </fill>
    <fill>
      <patternFill patternType="solid">
        <fgColor rgb="FF00B0F0"/>
        <bgColor indexed="64"/>
      </patternFill>
    </fill>
    <fill>
      <patternFill patternType="solid">
        <fgColor theme="6" tint="0.39997558519241921"/>
        <bgColor indexed="64"/>
      </patternFill>
    </fill>
    <fill>
      <patternFill patternType="solid">
        <fgColor rgb="FFCCECFF"/>
        <bgColor indexed="64"/>
      </patternFill>
    </fill>
    <fill>
      <patternFill patternType="solid">
        <fgColor theme="0" tint="-0.34998626667073579"/>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auto="1"/>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indexed="64"/>
      </left>
      <right/>
      <top/>
      <bottom style="thin">
        <color auto="1"/>
      </bottom>
      <diagonal/>
    </border>
    <border>
      <left/>
      <right style="thin">
        <color indexed="64"/>
      </right>
      <top/>
      <bottom style="thin">
        <color auto="1"/>
      </bottom>
      <diagonal/>
    </border>
    <border>
      <left style="thin">
        <color indexed="64"/>
      </left>
      <right style="thin">
        <color indexed="64"/>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auto="1"/>
      </top>
      <bottom style="thin">
        <color indexed="64"/>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indexed="64"/>
      </right>
      <top style="thin">
        <color indexed="64"/>
      </top>
      <bottom style="thin">
        <color indexed="64"/>
      </bottom>
      <diagonal/>
    </border>
    <border>
      <left/>
      <right style="dashDot">
        <color auto="1"/>
      </right>
      <top/>
      <bottom/>
      <diagonal/>
    </border>
    <border>
      <left/>
      <right/>
      <top style="dashDot">
        <color auto="1"/>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double">
        <color rgb="FFFF0000"/>
      </left>
      <right style="double">
        <color rgb="FFFF0000"/>
      </right>
      <top style="double">
        <color rgb="FFFF0000"/>
      </top>
      <bottom style="double">
        <color rgb="FFFF0000"/>
      </bottom>
      <diagonal/>
    </border>
    <border>
      <left style="double">
        <color rgb="FFFF0000"/>
      </left>
      <right/>
      <top style="double">
        <color rgb="FFFF0000"/>
      </top>
      <bottom style="thin">
        <color theme="0" tint="-0.499984740745262"/>
      </bottom>
      <diagonal/>
    </border>
    <border>
      <left/>
      <right style="thin">
        <color theme="0" tint="-0.499984740745262"/>
      </right>
      <top style="double">
        <color rgb="FFFF0000"/>
      </top>
      <bottom style="thin">
        <color theme="0" tint="-0.499984740745262"/>
      </bottom>
      <diagonal/>
    </border>
    <border>
      <left style="thin">
        <color theme="0" tint="-0.499984740745262"/>
      </left>
      <right style="thin">
        <color theme="0" tint="-0.499984740745262"/>
      </right>
      <top style="double">
        <color rgb="FFFF0000"/>
      </top>
      <bottom style="thin">
        <color theme="0" tint="-0.499984740745262"/>
      </bottom>
      <diagonal/>
    </border>
    <border>
      <left style="thin">
        <color theme="0" tint="-0.499984740745262"/>
      </left>
      <right style="double">
        <color rgb="FFFF0000"/>
      </right>
      <top style="double">
        <color rgb="FFFF0000"/>
      </top>
      <bottom style="thin">
        <color theme="0" tint="-0.499984740745262"/>
      </bottom>
      <diagonal/>
    </border>
    <border>
      <left style="thin">
        <color theme="0" tint="-0.499984740745262"/>
      </left>
      <right style="double">
        <color rgb="FFFF0000"/>
      </right>
      <top style="thin">
        <color theme="0" tint="-0.499984740745262"/>
      </top>
      <bottom style="thin">
        <color theme="0" tint="-0.499984740745262"/>
      </bottom>
      <diagonal/>
    </border>
    <border>
      <left style="double">
        <color rgb="FFFF0000"/>
      </left>
      <right style="thin">
        <color theme="0" tint="-0.499984740745262"/>
      </right>
      <top style="thin">
        <color theme="0" tint="-0.499984740745262"/>
      </top>
      <bottom style="thin">
        <color theme="0" tint="-0.499984740745262"/>
      </bottom>
      <diagonal/>
    </border>
    <border>
      <left style="double">
        <color rgb="FFFF0000"/>
      </left>
      <right/>
      <top style="thin">
        <color theme="0" tint="-0.499984740745262"/>
      </top>
      <bottom style="double">
        <color rgb="FFFF0000"/>
      </bottom>
      <diagonal/>
    </border>
    <border>
      <left/>
      <right style="thin">
        <color theme="0" tint="-0.499984740745262"/>
      </right>
      <top style="thin">
        <color theme="0" tint="-0.499984740745262"/>
      </top>
      <bottom style="double">
        <color rgb="FFFF0000"/>
      </bottom>
      <diagonal/>
    </border>
    <border>
      <left style="thin">
        <color theme="0" tint="-0.499984740745262"/>
      </left>
      <right style="thin">
        <color theme="0" tint="-0.499984740745262"/>
      </right>
      <top style="thin">
        <color theme="0" tint="-0.499984740745262"/>
      </top>
      <bottom style="double">
        <color rgb="FFFF0000"/>
      </bottom>
      <diagonal/>
    </border>
    <border>
      <left style="thin">
        <color theme="0" tint="-0.499984740745262"/>
      </left>
      <right style="double">
        <color rgb="FFFF0000"/>
      </right>
      <top style="thin">
        <color theme="0" tint="-0.499984740745262"/>
      </top>
      <bottom style="double">
        <color rgb="FFFF0000"/>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double">
        <color rgb="FFFF0000"/>
      </right>
      <top style="double">
        <color rgb="FFFF0000"/>
      </top>
      <bottom style="double">
        <color rgb="FFFF0000"/>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style="double">
        <color rgb="FFFF0000"/>
      </right>
      <top style="double">
        <color rgb="FFFF0000"/>
      </top>
      <bottom/>
      <diagonal/>
    </border>
    <border>
      <left/>
      <right/>
      <top style="double">
        <color rgb="FFFF0000"/>
      </top>
      <bottom style="thin">
        <color theme="0" tint="-0.499984740745262"/>
      </bottom>
      <diagonal/>
    </border>
    <border>
      <left/>
      <right style="thin">
        <color theme="0" tint="-0.499984740745262"/>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double">
        <color rgb="FFFF0000"/>
      </right>
      <top style="double">
        <color rgb="FFFF0000"/>
      </top>
      <bottom style="thin">
        <color theme="0" tint="-0.499984740745262"/>
      </bottom>
      <diagonal/>
    </border>
    <border>
      <left/>
      <right/>
      <top style="thin">
        <color theme="0" tint="-0.499984740745262"/>
      </top>
      <bottom style="double">
        <color rgb="FFFF0000"/>
      </bottom>
      <diagonal/>
    </border>
    <border>
      <left/>
      <right style="double">
        <color rgb="FFFF0000"/>
      </right>
      <top style="thin">
        <color theme="0" tint="-0.499984740745262"/>
      </top>
      <bottom style="double">
        <color rgb="FFFF0000"/>
      </bottom>
      <diagonal/>
    </border>
  </borders>
  <cellStyleXfs count="277">
    <xf numFmtId="0" fontId="0" fillId="0" borderId="0">
      <alignment vertical="center"/>
    </xf>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39" fillId="0" borderId="0">
      <alignment vertical="center"/>
    </xf>
    <xf numFmtId="0" fontId="17"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49" fillId="0" borderId="0" applyNumberFormat="0" applyFill="0" applyBorder="0" applyAlignment="0" applyProtection="0">
      <alignment vertical="center"/>
    </xf>
    <xf numFmtId="0" fontId="50" fillId="0" borderId="45" applyNumberFormat="0" applyFill="0" applyAlignment="0" applyProtection="0">
      <alignment vertical="center"/>
    </xf>
    <xf numFmtId="0" fontId="51" fillId="0" borderId="46" applyNumberFormat="0" applyFill="0" applyAlignment="0" applyProtection="0">
      <alignment vertical="center"/>
    </xf>
    <xf numFmtId="0" fontId="52" fillId="0" borderId="47" applyNumberFormat="0" applyFill="0" applyAlignment="0" applyProtection="0">
      <alignment vertical="center"/>
    </xf>
    <xf numFmtId="0" fontId="52" fillId="0" borderId="0" applyNumberFormat="0" applyFill="0" applyBorder="0" applyAlignment="0" applyProtection="0">
      <alignment vertical="center"/>
    </xf>
    <xf numFmtId="0" fontId="53" fillId="15" borderId="0" applyNumberFormat="0" applyBorder="0" applyAlignment="0" applyProtection="0">
      <alignment vertical="center"/>
    </xf>
    <xf numFmtId="0" fontId="54" fillId="16" borderId="0" applyNumberFormat="0" applyBorder="0" applyAlignment="0" applyProtection="0">
      <alignment vertical="center"/>
    </xf>
    <xf numFmtId="0" fontId="55" fillId="17" borderId="0" applyNumberFormat="0" applyBorder="0" applyAlignment="0" applyProtection="0">
      <alignment vertical="center"/>
    </xf>
    <xf numFmtId="0" fontId="56" fillId="18" borderId="48" applyNumberFormat="0" applyAlignment="0" applyProtection="0">
      <alignment vertical="center"/>
    </xf>
    <xf numFmtId="0" fontId="57" fillId="19" borderId="49" applyNumberFormat="0" applyAlignment="0" applyProtection="0">
      <alignment vertical="center"/>
    </xf>
    <xf numFmtId="0" fontId="58" fillId="19" borderId="48" applyNumberFormat="0" applyAlignment="0" applyProtection="0">
      <alignment vertical="center"/>
    </xf>
    <xf numFmtId="0" fontId="59" fillId="0" borderId="50" applyNumberFormat="0" applyFill="0" applyAlignment="0" applyProtection="0">
      <alignment vertical="center"/>
    </xf>
    <xf numFmtId="0" fontId="60" fillId="20" borderId="51" applyNumberFormat="0" applyAlignment="0" applyProtection="0">
      <alignment vertical="center"/>
    </xf>
    <xf numFmtId="0" fontId="61"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3" fillId="0" borderId="53" applyNumberFormat="0" applyFill="0" applyAlignment="0" applyProtection="0">
      <alignment vertical="center"/>
    </xf>
    <xf numFmtId="0" fontId="64"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64"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13" fillId="29" borderId="0" applyNumberFormat="0" applyBorder="0" applyAlignment="0" applyProtection="0">
      <alignment vertical="center"/>
    </xf>
    <xf numFmtId="0" fontId="64"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13" fillId="33" borderId="0" applyNumberFormat="0" applyBorder="0" applyAlignment="0" applyProtection="0">
      <alignment vertical="center"/>
    </xf>
    <xf numFmtId="0" fontId="64" fillId="34" borderId="0" applyNumberFormat="0" applyBorder="0" applyAlignment="0" applyProtection="0">
      <alignment vertical="center"/>
    </xf>
    <xf numFmtId="0" fontId="13" fillId="35" borderId="0" applyNumberFormat="0" applyBorder="0" applyAlignment="0" applyProtection="0">
      <alignment vertical="center"/>
    </xf>
    <xf numFmtId="0" fontId="13" fillId="36" borderId="0" applyNumberFormat="0" applyBorder="0" applyAlignment="0" applyProtection="0">
      <alignment vertical="center"/>
    </xf>
    <xf numFmtId="0" fontId="13" fillId="37" borderId="0" applyNumberFormat="0" applyBorder="0" applyAlignment="0" applyProtection="0">
      <alignment vertical="center"/>
    </xf>
    <xf numFmtId="0" fontId="64" fillId="38" borderId="0" applyNumberFormat="0" applyBorder="0" applyAlignment="0" applyProtection="0">
      <alignment vertical="center"/>
    </xf>
    <xf numFmtId="0" fontId="13" fillId="39" borderId="0" applyNumberFormat="0" applyBorder="0" applyAlignment="0" applyProtection="0">
      <alignment vertical="center"/>
    </xf>
    <xf numFmtId="0" fontId="13" fillId="40" borderId="0" applyNumberFormat="0" applyBorder="0" applyAlignment="0" applyProtection="0">
      <alignment vertical="center"/>
    </xf>
    <xf numFmtId="0" fontId="13" fillId="41" borderId="0" applyNumberFormat="0" applyBorder="0" applyAlignment="0" applyProtection="0">
      <alignment vertical="center"/>
    </xf>
    <xf numFmtId="0" fontId="64" fillId="42" borderId="0" applyNumberFormat="0" applyBorder="0" applyAlignment="0" applyProtection="0">
      <alignment vertical="center"/>
    </xf>
    <xf numFmtId="0" fontId="13" fillId="43" borderId="0" applyNumberFormat="0" applyBorder="0" applyAlignment="0" applyProtection="0">
      <alignment vertical="center"/>
    </xf>
    <xf numFmtId="0" fontId="13" fillId="44" borderId="0" applyNumberFormat="0" applyBorder="0" applyAlignment="0" applyProtection="0">
      <alignment vertical="center"/>
    </xf>
    <xf numFmtId="0" fontId="13" fillId="45" borderId="0" applyNumberFormat="0" applyBorder="0" applyAlignment="0" applyProtection="0">
      <alignment vertical="center"/>
    </xf>
    <xf numFmtId="0" fontId="13" fillId="0" borderId="0">
      <alignment vertical="center"/>
    </xf>
    <xf numFmtId="0" fontId="13" fillId="21" borderId="52" applyNumberFormat="0" applyFont="0" applyAlignment="0" applyProtection="0">
      <alignment vertical="center"/>
    </xf>
    <xf numFmtId="38" fontId="39" fillId="0" borderId="0" applyFont="0" applyFill="0" applyBorder="0" applyAlignment="0" applyProtection="0">
      <alignment vertical="center"/>
    </xf>
    <xf numFmtId="0" fontId="12" fillId="0" borderId="0">
      <alignment vertical="center"/>
    </xf>
    <xf numFmtId="9" fontId="12" fillId="0" borderId="0" applyFont="0" applyFill="0" applyBorder="0" applyAlignment="0" applyProtection="0">
      <alignment vertical="center"/>
    </xf>
    <xf numFmtId="0" fontId="11" fillId="0" borderId="0">
      <alignment vertical="center"/>
    </xf>
    <xf numFmtId="0" fontId="1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23" borderId="0" applyNumberFormat="0" applyBorder="0" applyAlignment="0" applyProtection="0">
      <alignment vertical="center"/>
    </xf>
    <xf numFmtId="0" fontId="8" fillId="24" borderId="0" applyNumberFormat="0" applyBorder="0" applyAlignment="0" applyProtection="0">
      <alignment vertical="center"/>
    </xf>
    <xf numFmtId="0" fontId="8" fillId="25" borderId="0" applyNumberFormat="0" applyBorder="0" applyAlignment="0" applyProtection="0">
      <alignment vertical="center"/>
    </xf>
    <xf numFmtId="0" fontId="8" fillId="27" borderId="0" applyNumberFormat="0" applyBorder="0" applyAlignment="0" applyProtection="0">
      <alignment vertical="center"/>
    </xf>
    <xf numFmtId="0" fontId="8" fillId="28" borderId="0" applyNumberFormat="0" applyBorder="0" applyAlignment="0" applyProtection="0">
      <alignment vertical="center"/>
    </xf>
    <xf numFmtId="0" fontId="8" fillId="29" borderId="0" applyNumberFormat="0" applyBorder="0" applyAlignment="0" applyProtection="0">
      <alignment vertical="center"/>
    </xf>
    <xf numFmtId="0" fontId="8" fillId="31" borderId="0" applyNumberFormat="0" applyBorder="0" applyAlignment="0" applyProtection="0">
      <alignment vertical="center"/>
    </xf>
    <xf numFmtId="0" fontId="8" fillId="32" borderId="0" applyNumberFormat="0" applyBorder="0" applyAlignment="0" applyProtection="0">
      <alignment vertical="center"/>
    </xf>
    <xf numFmtId="0" fontId="8" fillId="33" borderId="0" applyNumberFormat="0" applyBorder="0" applyAlignment="0" applyProtection="0">
      <alignment vertical="center"/>
    </xf>
    <xf numFmtId="0" fontId="8" fillId="35" borderId="0" applyNumberFormat="0" applyBorder="0" applyAlignment="0" applyProtection="0">
      <alignment vertical="center"/>
    </xf>
    <xf numFmtId="0" fontId="8" fillId="36" borderId="0" applyNumberFormat="0" applyBorder="0" applyAlignment="0" applyProtection="0">
      <alignment vertical="center"/>
    </xf>
    <xf numFmtId="0" fontId="8" fillId="37" borderId="0" applyNumberFormat="0" applyBorder="0" applyAlignment="0" applyProtection="0">
      <alignment vertical="center"/>
    </xf>
    <xf numFmtId="0" fontId="8" fillId="39" borderId="0" applyNumberFormat="0" applyBorder="0" applyAlignment="0" applyProtection="0">
      <alignment vertical="center"/>
    </xf>
    <xf numFmtId="0" fontId="8" fillId="40" borderId="0" applyNumberFormat="0" applyBorder="0" applyAlignment="0" applyProtection="0">
      <alignment vertical="center"/>
    </xf>
    <xf numFmtId="0" fontId="8" fillId="41" borderId="0" applyNumberFormat="0" applyBorder="0" applyAlignment="0" applyProtection="0">
      <alignment vertical="center"/>
    </xf>
    <xf numFmtId="0" fontId="8" fillId="43" borderId="0" applyNumberFormat="0" applyBorder="0" applyAlignment="0" applyProtection="0">
      <alignment vertical="center"/>
    </xf>
    <xf numFmtId="0" fontId="8" fillId="44" borderId="0" applyNumberFormat="0" applyBorder="0" applyAlignment="0" applyProtection="0">
      <alignment vertical="center"/>
    </xf>
    <xf numFmtId="0" fontId="8" fillId="45" borderId="0" applyNumberFormat="0" applyBorder="0" applyAlignment="0" applyProtection="0">
      <alignment vertical="center"/>
    </xf>
    <xf numFmtId="0" fontId="8" fillId="0" borderId="0">
      <alignment vertical="center"/>
    </xf>
    <xf numFmtId="0" fontId="8" fillId="21" borderId="52" applyNumberFormat="0" applyFont="0" applyAlignment="0" applyProtection="0">
      <alignment vertical="center"/>
    </xf>
    <xf numFmtId="0" fontId="8" fillId="0" borderId="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7" fillId="0" borderId="0">
      <alignment vertical="center"/>
    </xf>
    <xf numFmtId="38" fontId="7" fillId="0" borderId="0" applyFont="0" applyFill="0" applyBorder="0" applyAlignment="0" applyProtection="0">
      <alignment vertical="center"/>
    </xf>
    <xf numFmtId="0" fontId="6"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3" fillId="0" borderId="0">
      <alignment vertical="center"/>
    </xf>
    <xf numFmtId="0" fontId="79" fillId="0" borderId="0" applyNumberFormat="0" applyFill="0" applyBorder="0" applyAlignment="0" applyProtection="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38" fontId="39" fillId="0" borderId="0" applyFont="0" applyFill="0" applyBorder="0" applyAlignment="0" applyProtection="0">
      <alignment vertical="center"/>
    </xf>
    <xf numFmtId="0" fontId="39"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23" borderId="0" applyNumberFormat="0" applyBorder="0" applyAlignment="0" applyProtection="0">
      <alignment vertical="center"/>
    </xf>
    <xf numFmtId="0" fontId="2" fillId="24" borderId="0" applyNumberFormat="0" applyBorder="0" applyAlignment="0" applyProtection="0">
      <alignment vertical="center"/>
    </xf>
    <xf numFmtId="0" fontId="2" fillId="25" borderId="0" applyNumberFormat="0" applyBorder="0" applyAlignment="0" applyProtection="0">
      <alignment vertical="center"/>
    </xf>
    <xf numFmtId="0" fontId="2"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2"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2"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2"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2"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2" fillId="0" borderId="0">
      <alignment vertical="center"/>
    </xf>
    <xf numFmtId="0" fontId="2" fillId="21" borderId="52" applyNumberFormat="0" applyFont="0" applyAlignment="0" applyProtection="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23" borderId="0" applyNumberFormat="0" applyBorder="0" applyAlignment="0" applyProtection="0">
      <alignment vertical="center"/>
    </xf>
    <xf numFmtId="0" fontId="2" fillId="24" borderId="0" applyNumberFormat="0" applyBorder="0" applyAlignment="0" applyProtection="0">
      <alignment vertical="center"/>
    </xf>
    <xf numFmtId="0" fontId="2" fillId="25" borderId="0" applyNumberFormat="0" applyBorder="0" applyAlignment="0" applyProtection="0">
      <alignment vertical="center"/>
    </xf>
    <xf numFmtId="0" fontId="2"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2"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2"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2"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2"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2" fillId="0" borderId="0">
      <alignment vertical="center"/>
    </xf>
    <xf numFmtId="0" fontId="2" fillId="21" borderId="52" applyNumberFormat="0" applyFont="0" applyAlignment="0" applyProtection="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1" fillId="0" borderId="0">
      <alignment vertical="center"/>
    </xf>
    <xf numFmtId="0" fontId="1" fillId="0" borderId="0">
      <alignment vertical="center"/>
    </xf>
    <xf numFmtId="9" fontId="39" fillId="0" borderId="0" applyFont="0" applyFill="0" applyBorder="0" applyAlignment="0" applyProtection="0">
      <alignment vertical="center"/>
    </xf>
  </cellStyleXfs>
  <cellXfs count="554">
    <xf numFmtId="0" fontId="0" fillId="0" borderId="0" xfId="0">
      <alignment vertical="center"/>
    </xf>
    <xf numFmtId="0" fontId="27" fillId="0" borderId="0" xfId="1" applyFont="1">
      <alignment vertical="center"/>
    </xf>
    <xf numFmtId="0" fontId="21" fillId="0" borderId="0" xfId="1" applyAlignment="1">
      <alignment vertical="center" wrapText="1"/>
    </xf>
    <xf numFmtId="0" fontId="21" fillId="0" borderId="0" xfId="1">
      <alignment vertical="center"/>
    </xf>
    <xf numFmtId="0" fontId="29" fillId="0" borderId="0" xfId="1" applyFont="1" applyAlignment="1">
      <alignment vertical="center"/>
    </xf>
    <xf numFmtId="0" fontId="29" fillId="0" borderId="0" xfId="1" applyFont="1" applyAlignment="1">
      <alignment horizontal="center" vertical="center"/>
    </xf>
    <xf numFmtId="0" fontId="25" fillId="4" borderId="14" xfId="1" applyFont="1" applyFill="1" applyBorder="1" applyAlignment="1">
      <alignment horizontal="center" vertical="center" wrapText="1"/>
    </xf>
    <xf numFmtId="0" fontId="25" fillId="4" borderId="15" xfId="1" applyFont="1" applyFill="1" applyBorder="1" applyAlignment="1">
      <alignment horizontal="center" vertical="center" wrapText="1"/>
    </xf>
    <xf numFmtId="0" fontId="25" fillId="4" borderId="16" xfId="1" applyFont="1" applyFill="1" applyBorder="1" applyAlignment="1">
      <alignment horizontal="center" vertical="center" wrapText="1"/>
    </xf>
    <xf numFmtId="0" fontId="28" fillId="0" borderId="19" xfId="1" applyFont="1" applyBorder="1" applyAlignment="1">
      <alignment horizontal="center" vertical="center"/>
    </xf>
    <xf numFmtId="0" fontId="21" fillId="0" borderId="20" xfId="1" applyBorder="1" applyAlignment="1">
      <alignment vertical="center" wrapText="1"/>
    </xf>
    <xf numFmtId="0" fontId="21" fillId="0" borderId="1" xfId="1" applyBorder="1" applyAlignment="1">
      <alignment vertical="center" wrapText="1"/>
    </xf>
    <xf numFmtId="0" fontId="21" fillId="0" borderId="21" xfId="1" applyBorder="1" applyAlignment="1">
      <alignment vertical="center" wrapText="1"/>
    </xf>
    <xf numFmtId="0" fontId="21" fillId="0" borderId="22" xfId="1" applyBorder="1" applyAlignment="1">
      <alignment vertical="center" wrapText="1"/>
    </xf>
    <xf numFmtId="0" fontId="21" fillId="0" borderId="10" xfId="1" applyBorder="1" applyAlignment="1">
      <alignment vertical="center" wrapText="1"/>
    </xf>
    <xf numFmtId="0" fontId="31" fillId="0" borderId="0" xfId="1" applyFont="1">
      <alignment vertical="center"/>
    </xf>
    <xf numFmtId="0" fontId="31" fillId="5" borderId="1" xfId="1" applyFont="1" applyFill="1" applyBorder="1" applyAlignment="1">
      <alignment horizontal="center" vertical="center"/>
    </xf>
    <xf numFmtId="0" fontId="32" fillId="0" borderId="0" xfId="1" applyFont="1" applyFill="1" applyBorder="1" applyAlignment="1">
      <alignment horizontal="center" vertical="center"/>
    </xf>
    <xf numFmtId="0" fontId="21" fillId="0" borderId="23" xfId="1" applyBorder="1" applyAlignment="1">
      <alignment vertical="center" wrapText="1"/>
    </xf>
    <xf numFmtId="0" fontId="31" fillId="6" borderId="1" xfId="1" applyFont="1" applyFill="1" applyBorder="1" applyAlignment="1">
      <alignment horizontal="center" vertical="center"/>
    </xf>
    <xf numFmtId="0" fontId="31" fillId="7" borderId="1" xfId="1" applyFont="1" applyFill="1" applyBorder="1" applyAlignment="1">
      <alignment horizontal="center" vertical="center"/>
    </xf>
    <xf numFmtId="0" fontId="31" fillId="8" borderId="1" xfId="1" applyFont="1" applyFill="1" applyBorder="1" applyAlignment="1">
      <alignment horizontal="center" vertical="center"/>
    </xf>
    <xf numFmtId="0" fontId="28" fillId="0" borderId="24" xfId="1" applyFont="1" applyBorder="1" applyAlignment="1">
      <alignment horizontal="center" vertical="center"/>
    </xf>
    <xf numFmtId="0" fontId="21" fillId="0" borderId="14" xfId="1" applyBorder="1" applyAlignment="1">
      <alignment vertical="center" wrapText="1"/>
    </xf>
    <xf numFmtId="0" fontId="21" fillId="0" borderId="15" xfId="1" applyBorder="1" applyAlignment="1">
      <alignment vertical="center" wrapText="1"/>
    </xf>
    <xf numFmtId="0" fontId="21" fillId="0" borderId="16" xfId="1" applyBorder="1" applyAlignment="1">
      <alignment vertical="center" wrapText="1"/>
    </xf>
    <xf numFmtId="0" fontId="21" fillId="0" borderId="25" xfId="1" applyBorder="1" applyAlignment="1">
      <alignment vertical="center" wrapText="1"/>
    </xf>
    <xf numFmtId="0" fontId="31" fillId="0" borderId="0" xfId="1" applyFont="1" applyAlignment="1">
      <alignment horizontal="center" vertical="center"/>
    </xf>
    <xf numFmtId="0" fontId="29" fillId="0" borderId="0" xfId="1" applyFont="1">
      <alignment vertical="center"/>
    </xf>
    <xf numFmtId="0" fontId="21" fillId="5" borderId="29" xfId="1" applyFill="1" applyBorder="1">
      <alignment vertical="center"/>
    </xf>
    <xf numFmtId="0" fontId="29" fillId="0" borderId="29" xfId="1" applyFont="1" applyBorder="1" applyAlignment="1">
      <alignment horizontal="center" vertical="center"/>
    </xf>
    <xf numFmtId="0" fontId="36" fillId="6" borderId="1" xfId="1" applyFont="1" applyFill="1" applyBorder="1" applyAlignment="1">
      <alignment horizontal="center" vertical="center"/>
    </xf>
    <xf numFmtId="0" fontId="29" fillId="0" borderId="19" xfId="1" applyFont="1" applyBorder="1" applyAlignment="1">
      <alignment horizontal="center" vertical="center"/>
    </xf>
    <xf numFmtId="0" fontId="36" fillId="7" borderId="1" xfId="1" applyFont="1" applyFill="1" applyBorder="1" applyAlignment="1">
      <alignment horizontal="center" vertical="center"/>
    </xf>
    <xf numFmtId="0" fontId="29" fillId="0" borderId="31" xfId="1" applyFont="1" applyFill="1" applyBorder="1" applyAlignment="1">
      <alignment horizontal="center" vertical="center"/>
    </xf>
    <xf numFmtId="0" fontId="21" fillId="8" borderId="24" xfId="1" applyFill="1" applyBorder="1">
      <alignment vertical="center"/>
    </xf>
    <xf numFmtId="0" fontId="29" fillId="0" borderId="24" xfId="1" applyFont="1" applyBorder="1" applyAlignment="1">
      <alignment horizontal="center" vertical="center"/>
    </xf>
    <xf numFmtId="0" fontId="31" fillId="0" borderId="0" xfId="1" applyFont="1" applyFill="1" applyBorder="1" applyAlignment="1">
      <alignment horizontal="center" vertical="center"/>
    </xf>
    <xf numFmtId="0" fontId="37" fillId="0" borderId="0" xfId="1" applyFont="1" applyFill="1" applyBorder="1" applyAlignment="1">
      <alignment horizontal="left" vertical="center"/>
    </xf>
    <xf numFmtId="0" fontId="37" fillId="0" borderId="0" xfId="1" applyFont="1" applyFill="1" applyBorder="1" applyAlignment="1">
      <alignment horizontal="center" vertical="center"/>
    </xf>
    <xf numFmtId="0" fontId="37" fillId="0" borderId="0" xfId="1" applyFont="1">
      <alignment vertical="center"/>
    </xf>
    <xf numFmtId="0" fontId="24" fillId="0" borderId="0" xfId="0" applyFont="1">
      <alignment vertical="center"/>
    </xf>
    <xf numFmtId="0" fontId="24" fillId="0" borderId="0" xfId="1" applyFont="1" applyBorder="1" applyAlignment="1">
      <alignment vertical="center" wrapText="1"/>
    </xf>
    <xf numFmtId="0" fontId="24" fillId="0" borderId="0" xfId="0" applyFont="1" applyBorder="1" applyAlignment="1">
      <alignment horizontal="center" vertical="center"/>
    </xf>
    <xf numFmtId="0" fontId="41" fillId="0" borderId="0" xfId="0" applyFont="1">
      <alignment vertical="center"/>
    </xf>
    <xf numFmtId="0" fontId="40" fillId="0" borderId="0" xfId="0" applyFont="1" applyAlignment="1">
      <alignment horizontal="left" vertical="center"/>
    </xf>
    <xf numFmtId="0" fontId="40" fillId="5" borderId="0" xfId="0" applyFont="1" applyFill="1" applyAlignment="1">
      <alignment horizontal="left"/>
    </xf>
    <xf numFmtId="0" fontId="40" fillId="5" borderId="0" xfId="0" applyFont="1" applyFill="1" applyAlignment="1">
      <alignment horizontal="left" vertical="center"/>
    </xf>
    <xf numFmtId="0" fontId="40" fillId="0" borderId="0" xfId="0" applyFont="1" applyFill="1" applyAlignment="1">
      <alignment horizontal="left" vertical="center" wrapText="1" indent="1"/>
    </xf>
    <xf numFmtId="0" fontId="42" fillId="4" borderId="34" xfId="0" applyFont="1" applyFill="1" applyBorder="1" applyAlignment="1">
      <alignment horizontal="center" vertical="center"/>
    </xf>
    <xf numFmtId="0" fontId="0" fillId="0" borderId="34" xfId="0" applyBorder="1">
      <alignment vertical="center"/>
    </xf>
    <xf numFmtId="0" fontId="45" fillId="5" borderId="0" xfId="0" applyFont="1" applyFill="1">
      <alignment vertical="center"/>
    </xf>
    <xf numFmtId="0" fontId="45" fillId="0" borderId="0" xfId="0" applyFont="1">
      <alignment vertical="center"/>
    </xf>
    <xf numFmtId="0" fontId="40" fillId="0" borderId="0" xfId="0" applyFont="1" applyFill="1" applyAlignment="1">
      <alignment vertical="center"/>
    </xf>
    <xf numFmtId="0" fontId="40" fillId="0" borderId="0" xfId="0" applyFont="1" applyAlignment="1">
      <alignment horizontal="left" vertical="center"/>
    </xf>
    <xf numFmtId="0" fontId="42" fillId="4" borderId="34" xfId="0" applyFont="1" applyFill="1" applyBorder="1" applyAlignment="1">
      <alignment horizontal="left" vertical="center"/>
    </xf>
    <xf numFmtId="0" fontId="40" fillId="0" borderId="0" xfId="0" applyFont="1" applyFill="1" applyBorder="1">
      <alignment vertical="center"/>
    </xf>
    <xf numFmtId="0" fontId="47" fillId="0" borderId="0" xfId="0" applyFont="1">
      <alignment vertical="center"/>
    </xf>
    <xf numFmtId="0" fontId="42" fillId="0" borderId="0" xfId="0" applyFont="1" applyBorder="1" applyAlignment="1">
      <alignment vertical="center"/>
    </xf>
    <xf numFmtId="0" fontId="0" fillId="0" borderId="0" xfId="0" applyFill="1" applyBorder="1">
      <alignment vertical="center"/>
    </xf>
    <xf numFmtId="0" fontId="40" fillId="0" borderId="0" xfId="0" applyFont="1">
      <alignment vertical="center"/>
    </xf>
    <xf numFmtId="0" fontId="40" fillId="5" borderId="0" xfId="0" applyFont="1" applyFill="1">
      <alignment vertical="center"/>
    </xf>
    <xf numFmtId="0" fontId="40" fillId="0" borderId="0" xfId="0" applyFont="1" applyAlignment="1">
      <alignment vertical="center" wrapText="1"/>
    </xf>
    <xf numFmtId="0" fontId="0" fillId="4" borderId="34" xfId="0" applyFill="1" applyBorder="1" applyAlignment="1">
      <alignment horizontal="center" vertical="center"/>
    </xf>
    <xf numFmtId="0" fontId="0" fillId="0" borderId="0" xfId="0" applyAlignment="1">
      <alignment horizontal="center" vertical="center"/>
    </xf>
    <xf numFmtId="0" fontId="0" fillId="13" borderId="34" xfId="0" applyFill="1" applyBorder="1" applyAlignment="1">
      <alignment horizontal="center" vertical="center"/>
    </xf>
    <xf numFmtId="0" fontId="0" fillId="14" borderId="34" xfId="0" applyFill="1" applyBorder="1" applyAlignment="1">
      <alignment horizontal="center" vertical="center"/>
    </xf>
    <xf numFmtId="0" fontId="0" fillId="0" borderId="41" xfId="0" applyBorder="1" applyAlignment="1">
      <alignment horizontal="center" vertical="center"/>
    </xf>
    <xf numFmtId="0" fontId="38" fillId="0" borderId="0" xfId="0" applyFont="1" applyAlignment="1">
      <alignment horizontal="center" vertical="center" wrapText="1"/>
    </xf>
    <xf numFmtId="0" fontId="38" fillId="4" borderId="34" xfId="0" applyFont="1" applyFill="1" applyBorder="1" applyAlignment="1">
      <alignment horizontal="center" vertical="center" wrapText="1"/>
    </xf>
    <xf numFmtId="0" fontId="38" fillId="4" borderId="34" xfId="0" applyNumberFormat="1" applyFont="1" applyFill="1" applyBorder="1" applyAlignment="1">
      <alignment horizontal="center" vertical="center" wrapText="1"/>
    </xf>
    <xf numFmtId="179" fontId="38" fillId="4" borderId="34" xfId="0" applyNumberFormat="1" applyFont="1" applyFill="1" applyBorder="1" applyAlignment="1">
      <alignment horizontal="center" vertical="center" wrapText="1"/>
    </xf>
    <xf numFmtId="0" fontId="0" fillId="0" borderId="34" xfId="0" applyFill="1" applyBorder="1">
      <alignment vertical="center"/>
    </xf>
    <xf numFmtId="0" fontId="0" fillId="47" borderId="34" xfId="0" applyFill="1" applyBorder="1">
      <alignment vertical="center"/>
    </xf>
    <xf numFmtId="0" fontId="0" fillId="46" borderId="34" xfId="0" applyFill="1" applyBorder="1">
      <alignment vertical="center"/>
    </xf>
    <xf numFmtId="0" fontId="0" fillId="0" borderId="39" xfId="0" applyFill="1" applyBorder="1">
      <alignment vertical="center"/>
    </xf>
    <xf numFmtId="0" fontId="0" fillId="0" borderId="54" xfId="0" applyFill="1" applyBorder="1">
      <alignment vertical="center"/>
    </xf>
    <xf numFmtId="0" fontId="23" fillId="4" borderId="0" xfId="0" applyFont="1" applyFill="1" applyAlignment="1">
      <alignment horizontal="center" vertical="center"/>
    </xf>
    <xf numFmtId="181" fontId="40" fillId="10" borderId="34" xfId="0" applyNumberFormat="1" applyFont="1" applyFill="1" applyBorder="1" applyAlignment="1">
      <alignment horizontal="left" vertical="center" wrapText="1"/>
    </xf>
    <xf numFmtId="180" fontId="38" fillId="4" borderId="34" xfId="0" applyNumberFormat="1" applyFont="1" applyFill="1" applyBorder="1" applyAlignment="1">
      <alignment horizontal="center" vertical="center" wrapText="1"/>
    </xf>
    <xf numFmtId="0" fontId="38" fillId="46" borderId="34" xfId="0" applyFont="1" applyFill="1" applyBorder="1" applyAlignment="1">
      <alignment horizontal="center" vertical="center" wrapText="1"/>
    </xf>
    <xf numFmtId="0" fontId="65" fillId="0" borderId="0" xfId="0" applyFont="1">
      <alignment vertical="center"/>
    </xf>
    <xf numFmtId="0" fontId="0" fillId="0" borderId="54" xfId="0" applyBorder="1">
      <alignment vertical="center"/>
    </xf>
    <xf numFmtId="0" fontId="0" fillId="0" borderId="11" xfId="0" applyBorder="1" applyAlignment="1">
      <alignment horizontal="center" vertical="center"/>
    </xf>
    <xf numFmtId="0" fontId="0" fillId="0" borderId="56" xfId="0" applyBorder="1">
      <alignment vertical="center"/>
    </xf>
    <xf numFmtId="0" fontId="0" fillId="0" borderId="12" xfId="0" applyBorder="1">
      <alignment vertical="center"/>
    </xf>
    <xf numFmtId="0" fontId="0" fillId="0" borderId="57" xfId="0" applyBorder="1" applyAlignment="1">
      <alignment horizontal="center" vertical="center"/>
    </xf>
    <xf numFmtId="0" fontId="0" fillId="11" borderId="54" xfId="0" applyFill="1" applyBorder="1">
      <alignment vertical="center"/>
    </xf>
    <xf numFmtId="0" fontId="0" fillId="48" borderId="54" xfId="0" applyFill="1" applyBorder="1">
      <alignment vertical="center"/>
    </xf>
    <xf numFmtId="0" fontId="0" fillId="0" borderId="58" xfId="0" applyBorder="1">
      <alignment vertical="center"/>
    </xf>
    <xf numFmtId="0" fontId="0" fillId="0" borderId="17" xfId="0" applyBorder="1">
      <alignment vertical="center"/>
    </xf>
    <xf numFmtId="0" fontId="0" fillId="0" borderId="6" xfId="0" applyBorder="1" applyAlignment="1">
      <alignment horizontal="center" vertical="center"/>
    </xf>
    <xf numFmtId="0" fontId="0" fillId="0" borderId="18" xfId="0" applyBorder="1" applyAlignment="1">
      <alignment horizontal="center" vertical="center"/>
    </xf>
    <xf numFmtId="0" fontId="43" fillId="10" borderId="34" xfId="0" applyFont="1" applyFill="1" applyBorder="1" applyAlignment="1">
      <alignment horizontal="center" vertical="center"/>
    </xf>
    <xf numFmtId="0" fontId="24" fillId="0" borderId="0" xfId="77" applyFont="1">
      <alignment vertical="center"/>
    </xf>
    <xf numFmtId="181" fontId="24" fillId="0" borderId="0" xfId="77" applyNumberFormat="1" applyFont="1" applyAlignment="1">
      <alignment horizontal="right" vertical="center"/>
    </xf>
    <xf numFmtId="0" fontId="24" fillId="0" borderId="0" xfId="77" applyFont="1" applyAlignment="1">
      <alignment horizontal="center" vertical="center"/>
    </xf>
    <xf numFmtId="0" fontId="0" fillId="0" borderId="0" xfId="0" applyFont="1" applyAlignment="1">
      <alignment horizontal="center" vertical="center"/>
    </xf>
    <xf numFmtId="0" fontId="24" fillId="2" borderId="0" xfId="0" applyFont="1" applyFill="1" applyAlignment="1">
      <alignment horizontal="center" vertical="center"/>
    </xf>
    <xf numFmtId="0" fontId="24" fillId="0" borderId="0" xfId="0" applyFont="1" applyAlignment="1">
      <alignment horizontal="center" vertical="center"/>
    </xf>
    <xf numFmtId="14" fontId="38" fillId="46" borderId="34" xfId="0" applyNumberFormat="1" applyFont="1" applyFill="1" applyBorder="1" applyAlignment="1">
      <alignment horizontal="center" vertical="center" wrapText="1"/>
    </xf>
    <xf numFmtId="0" fontId="39" fillId="0" borderId="0" xfId="7" applyAlignment="1">
      <alignment vertical="center"/>
    </xf>
    <xf numFmtId="0" fontId="24" fillId="0" borderId="0" xfId="80" applyFont="1" applyBorder="1">
      <alignment vertical="center"/>
    </xf>
    <xf numFmtId="0" fontId="24" fillId="0" borderId="0" xfId="80" applyFont="1">
      <alignment vertical="center"/>
    </xf>
    <xf numFmtId="181" fontId="69" fillId="0" borderId="0" xfId="80" applyNumberFormat="1" applyFont="1" applyFill="1" applyBorder="1" applyAlignment="1">
      <alignment horizontal="center" vertical="center"/>
    </xf>
    <xf numFmtId="0" fontId="69" fillId="0" borderId="0" xfId="80" applyFont="1" applyFill="1" applyBorder="1" applyAlignment="1">
      <alignment horizontal="center" vertical="center"/>
    </xf>
    <xf numFmtId="0" fontId="69" fillId="0" borderId="0" xfId="80" applyNumberFormat="1" applyFont="1" applyFill="1" applyBorder="1" applyAlignment="1">
      <alignment horizontal="center" vertical="center"/>
    </xf>
    <xf numFmtId="0" fontId="24" fillId="0" borderId="0" xfId="80" applyFont="1" applyAlignment="1">
      <alignment horizontal="center" vertical="center"/>
    </xf>
    <xf numFmtId="182" fontId="69" fillId="0" borderId="0" xfId="80" applyNumberFormat="1" applyFont="1" applyFill="1" applyBorder="1" applyAlignment="1">
      <alignment horizontal="center" vertical="center"/>
    </xf>
    <xf numFmtId="0" fontId="40" fillId="0" borderId="0" xfId="80" applyFont="1">
      <alignment vertical="center"/>
    </xf>
    <xf numFmtId="0" fontId="40" fillId="0" borderId="0" xfId="80" applyNumberFormat="1" applyFont="1" applyBorder="1" applyAlignment="1">
      <alignment horizontal="left" vertical="center" wrapText="1" shrinkToFit="1"/>
    </xf>
    <xf numFmtId="0" fontId="42" fillId="2" borderId="54" xfId="80" applyNumberFormat="1" applyFont="1" applyFill="1" applyBorder="1" applyAlignment="1">
      <alignment horizontal="center" vertical="center" wrapText="1"/>
    </xf>
    <xf numFmtId="181" fontId="42" fillId="2" borderId="54" xfId="80" applyNumberFormat="1" applyFont="1" applyFill="1" applyBorder="1" applyAlignment="1">
      <alignment horizontal="center" vertical="center"/>
    </xf>
    <xf numFmtId="0" fontId="42" fillId="2" borderId="54" xfId="80" applyFont="1" applyFill="1" applyBorder="1" applyAlignment="1">
      <alignment horizontal="center" vertical="center" wrapText="1"/>
    </xf>
    <xf numFmtId="182" fontId="42" fillId="2" borderId="54" xfId="80" applyNumberFormat="1" applyFont="1" applyFill="1" applyBorder="1" applyAlignment="1">
      <alignment horizontal="center" vertical="center"/>
    </xf>
    <xf numFmtId="0" fontId="0" fillId="2" borderId="0" xfId="0" applyFill="1">
      <alignment vertical="center"/>
    </xf>
    <xf numFmtId="0" fontId="40" fillId="2" borderId="0" xfId="0" applyFont="1" applyFill="1" applyAlignment="1">
      <alignment horizontal="left" vertical="center"/>
    </xf>
    <xf numFmtId="0" fontId="24" fillId="2" borderId="0" xfId="0" applyFont="1" applyFill="1">
      <alignment vertical="center"/>
    </xf>
    <xf numFmtId="181" fontId="40" fillId="10" borderId="34" xfId="0" applyNumberFormat="1" applyFont="1" applyFill="1" applyBorder="1" applyAlignment="1">
      <alignment horizontal="center" vertical="center" wrapText="1"/>
    </xf>
    <xf numFmtId="0" fontId="69" fillId="0" borderId="0" xfId="80" applyNumberFormat="1" applyFont="1" applyFill="1" applyBorder="1" applyAlignment="1">
      <alignment horizontal="left" vertical="center" wrapText="1"/>
    </xf>
    <xf numFmtId="0" fontId="40" fillId="0" borderId="0" xfId="80" applyNumberFormat="1" applyFont="1" applyBorder="1" applyAlignment="1">
      <alignment horizontal="left" vertical="center" wrapText="1"/>
    </xf>
    <xf numFmtId="0" fontId="24" fillId="10" borderId="34" xfId="0" applyFont="1" applyFill="1" applyBorder="1" applyAlignment="1">
      <alignment vertical="center" wrapText="1"/>
    </xf>
    <xf numFmtId="0" fontId="40" fillId="0" borderId="0" xfId="137" applyFont="1">
      <alignment vertical="center"/>
    </xf>
    <xf numFmtId="0" fontId="40" fillId="0" borderId="0" xfId="137" applyFont="1" applyAlignment="1">
      <alignment vertical="center" wrapText="1"/>
    </xf>
    <xf numFmtId="182" fontId="40" fillId="0" borderId="0" xfId="137" applyNumberFormat="1" applyFont="1">
      <alignment vertical="center"/>
    </xf>
    <xf numFmtId="0" fontId="40" fillId="0" borderId="0" xfId="137" applyFont="1" applyAlignment="1">
      <alignment horizontal="left" vertical="center"/>
    </xf>
    <xf numFmtId="178" fontId="40" fillId="0" borderId="0" xfId="137" applyNumberFormat="1" applyFont="1" applyAlignment="1">
      <alignment horizontal="center" vertical="center"/>
    </xf>
    <xf numFmtId="0" fontId="40" fillId="0" borderId="0" xfId="137" applyFont="1" applyAlignment="1">
      <alignment horizontal="center" vertical="center"/>
    </xf>
    <xf numFmtId="0" fontId="40" fillId="0" borderId="0" xfId="137" applyFont="1" applyAlignment="1">
      <alignment horizontal="left" vertical="center" wrapText="1"/>
    </xf>
    <xf numFmtId="182" fontId="40" fillId="0" borderId="0" xfId="137" applyNumberFormat="1" applyFont="1" applyAlignment="1">
      <alignment vertical="center" wrapText="1"/>
    </xf>
    <xf numFmtId="0" fontId="24" fillId="0" borderId="0" xfId="139" applyFont="1">
      <alignment vertical="center"/>
    </xf>
    <xf numFmtId="0" fontId="24" fillId="0" borderId="11" xfId="139" applyFont="1" applyBorder="1" applyAlignment="1">
      <alignment horizontal="center" vertical="center"/>
    </xf>
    <xf numFmtId="0" fontId="24" fillId="0" borderId="56" xfId="139" applyFont="1" applyBorder="1">
      <alignment vertical="center"/>
    </xf>
    <xf numFmtId="0" fontId="24" fillId="0" borderId="12" xfId="139" applyFont="1" applyBorder="1">
      <alignment vertical="center"/>
    </xf>
    <xf numFmtId="0" fontId="24" fillId="4" borderId="59" xfId="139" applyFont="1" applyFill="1" applyBorder="1" applyAlignment="1">
      <alignment horizontal="center" vertical="center"/>
    </xf>
    <xf numFmtId="0" fontId="24" fillId="4" borderId="44" xfId="139" applyFont="1" applyFill="1" applyBorder="1" applyAlignment="1">
      <alignment horizontal="center" vertical="center"/>
    </xf>
    <xf numFmtId="0" fontId="24" fillId="4" borderId="44" xfId="139" applyFont="1" applyFill="1" applyBorder="1" applyAlignment="1">
      <alignment horizontal="center" vertical="center" wrapText="1"/>
    </xf>
    <xf numFmtId="0" fontId="24" fillId="0" borderId="57" xfId="139" applyFont="1" applyBorder="1" applyAlignment="1">
      <alignment horizontal="center" vertical="center"/>
    </xf>
    <xf numFmtId="0" fontId="24" fillId="0" borderId="8" xfId="139" applyFont="1" applyBorder="1" applyAlignment="1">
      <alignment horizontal="center" vertical="center"/>
    </xf>
    <xf numFmtId="0" fontId="24" fillId="11" borderId="9" xfId="139" applyFont="1" applyFill="1" applyBorder="1" applyAlignment="1">
      <alignment horizontal="center" vertical="center"/>
    </xf>
    <xf numFmtId="0" fontId="72" fillId="48" borderId="10" xfId="139" applyFont="1" applyFill="1" applyBorder="1" applyAlignment="1">
      <alignment horizontal="center" vertical="center"/>
    </xf>
    <xf numFmtId="0" fontId="24" fillId="0" borderId="58" xfId="139" applyFont="1" applyBorder="1">
      <alignment vertical="center"/>
    </xf>
    <xf numFmtId="0" fontId="72" fillId="48" borderId="60" xfId="139" applyFont="1" applyFill="1" applyBorder="1" applyAlignment="1">
      <alignment horizontal="center" vertical="center"/>
    </xf>
    <xf numFmtId="0" fontId="24" fillId="0" borderId="4" xfId="139" applyFont="1" applyBorder="1" applyAlignment="1">
      <alignment horizontal="center" vertical="center"/>
    </xf>
    <xf numFmtId="0" fontId="24" fillId="0" borderId="54" xfId="139" applyFont="1" applyBorder="1">
      <alignment vertical="center"/>
    </xf>
    <xf numFmtId="0" fontId="24" fillId="0" borderId="54" xfId="139" applyFont="1" applyBorder="1" applyAlignment="1">
      <alignment horizontal="center" vertical="center"/>
    </xf>
    <xf numFmtId="0" fontId="24" fillId="0" borderId="14" xfId="139" applyFont="1" applyBorder="1" applyAlignment="1">
      <alignment horizontal="center" vertical="center"/>
    </xf>
    <xf numFmtId="0" fontId="24" fillId="11" borderId="15" xfId="139" applyFont="1" applyFill="1" applyBorder="1" applyAlignment="1">
      <alignment horizontal="center" vertical="center"/>
    </xf>
    <xf numFmtId="0" fontId="24" fillId="11" borderId="16" xfId="139" applyFont="1" applyFill="1" applyBorder="1" applyAlignment="1">
      <alignment horizontal="center" vertical="center"/>
    </xf>
    <xf numFmtId="0" fontId="24" fillId="11" borderId="60" xfId="139" applyFont="1" applyFill="1" applyBorder="1" applyAlignment="1">
      <alignment horizontal="center" vertical="center"/>
    </xf>
    <xf numFmtId="0" fontId="24" fillId="1" borderId="61" xfId="139" applyFont="1" applyFill="1" applyBorder="1" applyAlignment="1">
      <alignment horizontal="center" vertical="center"/>
    </xf>
    <xf numFmtId="0" fontId="24" fillId="1" borderId="62" xfId="139" applyFont="1" applyFill="1" applyBorder="1" applyAlignment="1">
      <alignment horizontal="center" vertical="center"/>
    </xf>
    <xf numFmtId="0" fontId="24" fillId="1" borderId="63" xfId="139" applyFont="1" applyFill="1" applyBorder="1" applyAlignment="1">
      <alignment horizontal="center" vertical="center"/>
    </xf>
    <xf numFmtId="0" fontId="24" fillId="0" borderId="60" xfId="139" applyFont="1" applyBorder="1" applyAlignment="1">
      <alignment horizontal="center" vertical="center"/>
    </xf>
    <xf numFmtId="0" fontId="24" fillId="0" borderId="4" xfId="139" applyFont="1" applyBorder="1" applyAlignment="1">
      <alignment horizontal="center" vertical="center" wrapText="1"/>
    </xf>
    <xf numFmtId="0" fontId="24" fillId="0" borderId="17" xfId="139" applyFont="1" applyBorder="1">
      <alignment vertical="center"/>
    </xf>
    <xf numFmtId="0" fontId="24" fillId="0" borderId="6" xfId="139" applyFont="1" applyBorder="1" applyAlignment="1">
      <alignment horizontal="center" vertical="center"/>
    </xf>
    <xf numFmtId="0" fontId="24" fillId="0" borderId="18" xfId="139" applyFont="1" applyBorder="1" applyAlignment="1">
      <alignment horizontal="center" vertical="center"/>
    </xf>
    <xf numFmtId="0" fontId="24" fillId="1" borderId="60" xfId="139" applyFont="1" applyFill="1" applyBorder="1" applyAlignment="1">
      <alignment horizontal="center" vertical="center"/>
    </xf>
    <xf numFmtId="0" fontId="24" fillId="0" borderId="54" xfId="139" applyFont="1" applyBorder="1" applyAlignment="1">
      <alignment vertical="center" wrapText="1"/>
    </xf>
    <xf numFmtId="182" fontId="70" fillId="52" borderId="43" xfId="137" applyNumberFormat="1" applyFont="1" applyFill="1" applyBorder="1" applyAlignment="1">
      <alignment horizontal="center" vertical="center"/>
    </xf>
    <xf numFmtId="0" fontId="70" fillId="52" borderId="44" xfId="137" applyFont="1" applyFill="1" applyBorder="1" applyAlignment="1">
      <alignment horizontal="center" vertical="center" wrapText="1"/>
    </xf>
    <xf numFmtId="0" fontId="70" fillId="52" borderId="44" xfId="137" applyFont="1" applyFill="1" applyBorder="1" applyAlignment="1">
      <alignment horizontal="center" vertical="center"/>
    </xf>
    <xf numFmtId="0" fontId="70" fillId="52" borderId="42" xfId="137" applyFont="1" applyFill="1" applyBorder="1" applyAlignment="1">
      <alignment horizontal="center" vertical="center"/>
    </xf>
    <xf numFmtId="0" fontId="66" fillId="0" borderId="0" xfId="0" applyFont="1" applyAlignment="1">
      <alignment horizontal="left" vertical="center" wrapText="1"/>
    </xf>
    <xf numFmtId="0" fontId="66" fillId="0" borderId="0" xfId="0" applyFont="1" applyAlignment="1">
      <alignment horizontal="left" vertical="center"/>
    </xf>
    <xf numFmtId="181" fontId="40" fillId="10" borderId="34" xfId="0" applyNumberFormat="1" applyFont="1" applyFill="1" applyBorder="1" applyAlignment="1">
      <alignment horizontal="center" vertical="center"/>
    </xf>
    <xf numFmtId="182" fontId="40" fillId="0" borderId="0" xfId="137" applyNumberFormat="1" applyFont="1" applyAlignment="1">
      <alignment horizontal="center" vertical="center"/>
    </xf>
    <xf numFmtId="0" fontId="24" fillId="0" borderId="64" xfId="0" applyFont="1" applyBorder="1">
      <alignment vertical="center"/>
    </xf>
    <xf numFmtId="0" fontId="24" fillId="0" borderId="64" xfId="139" applyFont="1" applyBorder="1">
      <alignment vertical="center"/>
    </xf>
    <xf numFmtId="0" fontId="24" fillId="0" borderId="64" xfId="139" applyFont="1" applyFill="1" applyBorder="1">
      <alignment vertical="center"/>
    </xf>
    <xf numFmtId="0" fontId="24" fillId="0" borderId="0" xfId="141" applyFont="1">
      <alignment vertical="center"/>
    </xf>
    <xf numFmtId="0" fontId="24" fillId="0" borderId="65" xfId="141" applyFont="1" applyBorder="1" applyAlignment="1">
      <alignment horizontal="center" vertical="center"/>
    </xf>
    <xf numFmtId="0" fontId="23" fillId="0" borderId="0" xfId="141" applyFont="1" applyAlignment="1">
      <alignment horizontal="center" vertical="center"/>
    </xf>
    <xf numFmtId="0" fontId="24" fillId="0" borderId="0" xfId="141" applyFont="1" applyAlignment="1">
      <alignment vertical="center" wrapText="1"/>
    </xf>
    <xf numFmtId="0" fontId="67" fillId="0" borderId="0" xfId="141" applyFont="1" applyAlignment="1">
      <alignment horizontal="center" vertical="center"/>
    </xf>
    <xf numFmtId="0" fontId="24" fillId="0" borderId="66" xfId="141" applyFont="1" applyBorder="1" applyAlignment="1">
      <alignment horizontal="center" vertical="center"/>
    </xf>
    <xf numFmtId="181" fontId="40" fillId="0" borderId="0" xfId="0" applyNumberFormat="1" applyFont="1">
      <alignment vertical="center"/>
    </xf>
    <xf numFmtId="0" fontId="72" fillId="50" borderId="64" xfId="141" applyFont="1" applyFill="1" applyBorder="1" applyAlignment="1">
      <alignment horizontal="center" vertical="center"/>
    </xf>
    <xf numFmtId="0" fontId="24" fillId="3" borderId="64" xfId="141" applyFont="1" applyFill="1" applyBorder="1" applyAlignment="1">
      <alignment horizontal="center" vertical="center"/>
    </xf>
    <xf numFmtId="0" fontId="24" fillId="2" borderId="64" xfId="141" applyFont="1" applyFill="1" applyBorder="1" applyAlignment="1">
      <alignment horizontal="center" vertical="center"/>
    </xf>
    <xf numFmtId="0" fontId="75" fillId="50" borderId="64" xfId="141" applyFont="1" applyFill="1" applyBorder="1" applyAlignment="1">
      <alignment horizontal="center" vertical="center"/>
    </xf>
    <xf numFmtId="0" fontId="24" fillId="0" borderId="64" xfId="141" applyFont="1" applyBorder="1" applyAlignment="1">
      <alignment horizontal="center" vertical="center"/>
    </xf>
    <xf numFmtId="0" fontId="71" fillId="2" borderId="64" xfId="80" applyNumberFormat="1" applyFont="1" applyFill="1" applyBorder="1" applyAlignment="1">
      <alignment horizontal="center" vertical="center"/>
    </xf>
    <xf numFmtId="0" fontId="40" fillId="4" borderId="34" xfId="0" applyFont="1" applyFill="1" applyBorder="1" applyAlignment="1">
      <alignment horizontal="left" vertical="center"/>
    </xf>
    <xf numFmtId="14" fontId="43" fillId="46" borderId="34" xfId="0" applyNumberFormat="1" applyFont="1" applyFill="1" applyBorder="1" applyAlignment="1">
      <alignment horizontal="left" vertical="center"/>
    </xf>
    <xf numFmtId="182" fontId="40" fillId="10" borderId="34" xfId="142" applyNumberFormat="1" applyFont="1" applyFill="1" applyBorder="1">
      <alignment vertical="center"/>
    </xf>
    <xf numFmtId="0" fontId="24" fillId="0" borderId="0" xfId="143" applyFont="1" applyBorder="1" applyAlignment="1">
      <alignment vertical="center" wrapText="1"/>
    </xf>
    <xf numFmtId="0" fontId="40" fillId="0" borderId="0" xfId="143" applyFont="1" applyBorder="1" applyAlignment="1">
      <alignment vertical="center" wrapText="1"/>
    </xf>
    <xf numFmtId="3" fontId="40" fillId="0" borderId="0" xfId="143" applyNumberFormat="1" applyFont="1" applyBorder="1" applyAlignment="1">
      <alignment vertical="center" wrapText="1"/>
    </xf>
    <xf numFmtId="0" fontId="78" fillId="0" borderId="34" xfId="0" applyFont="1" applyBorder="1" applyAlignment="1">
      <alignment horizontal="center" vertical="center"/>
    </xf>
    <xf numFmtId="181" fontId="78" fillId="0" borderId="34" xfId="0" applyNumberFormat="1" applyFont="1" applyBorder="1" applyAlignment="1">
      <alignment horizontal="center" vertical="center"/>
    </xf>
    <xf numFmtId="0" fontId="78" fillId="0" borderId="34" xfId="0" applyFont="1" applyBorder="1">
      <alignment vertical="center"/>
    </xf>
    <xf numFmtId="181" fontId="78" fillId="0" borderId="34" xfId="0" applyNumberFormat="1" applyFont="1" applyBorder="1">
      <alignment vertical="center"/>
    </xf>
    <xf numFmtId="0" fontId="78" fillId="0" borderId="34" xfId="0" applyFont="1" applyBorder="1" applyAlignment="1">
      <alignment vertical="center" wrapText="1"/>
    </xf>
    <xf numFmtId="0" fontId="73" fillId="49" borderId="0" xfId="80" applyNumberFormat="1" applyFont="1" applyFill="1" applyBorder="1" applyAlignment="1">
      <alignment vertical="center"/>
    </xf>
    <xf numFmtId="181" fontId="38" fillId="46" borderId="34" xfId="0" applyNumberFormat="1" applyFont="1" applyFill="1" applyBorder="1" applyAlignment="1">
      <alignment horizontal="center" vertical="center" wrapText="1"/>
    </xf>
    <xf numFmtId="0" fontId="40" fillId="46" borderId="34" xfId="0" applyFont="1" applyFill="1" applyBorder="1" applyAlignment="1">
      <alignment horizontal="center" vertical="center" wrapText="1"/>
    </xf>
    <xf numFmtId="178" fontId="70" fillId="5" borderId="64" xfId="137" applyNumberFormat="1" applyFont="1" applyFill="1" applyBorder="1" applyAlignment="1">
      <alignment horizontal="center" vertical="center"/>
    </xf>
    <xf numFmtId="0" fontId="42" fillId="4" borderId="35" xfId="0" applyFont="1" applyFill="1" applyBorder="1" applyAlignment="1">
      <alignment horizontal="left" vertical="center"/>
    </xf>
    <xf numFmtId="0" fontId="42" fillId="4" borderId="35" xfId="0" applyFont="1" applyFill="1" applyBorder="1" applyAlignment="1">
      <alignment vertical="center"/>
    </xf>
    <xf numFmtId="14" fontId="42" fillId="4" borderId="36" xfId="0" applyNumberFormat="1" applyFont="1" applyFill="1" applyBorder="1" applyAlignment="1">
      <alignment horizontal="left" vertical="center"/>
    </xf>
    <xf numFmtId="0" fontId="42" fillId="4" borderId="37" xfId="0" applyFont="1" applyFill="1" applyBorder="1" applyAlignment="1">
      <alignment horizontal="left" vertical="center"/>
    </xf>
    <xf numFmtId="0" fontId="42" fillId="4" borderId="69" xfId="0" applyFont="1" applyFill="1" applyBorder="1" applyAlignment="1">
      <alignment horizontal="left" vertical="center"/>
    </xf>
    <xf numFmtId="0" fontId="42" fillId="4" borderId="70" xfId="0" applyFont="1" applyFill="1" applyBorder="1" applyAlignment="1">
      <alignment horizontal="left" vertical="center"/>
    </xf>
    <xf numFmtId="0" fontId="42" fillId="4" borderId="72" xfId="0" applyFont="1" applyFill="1" applyBorder="1" applyAlignment="1">
      <alignment horizontal="left" vertical="center"/>
    </xf>
    <xf numFmtId="177" fontId="40" fillId="10" borderId="40" xfId="0" applyNumberFormat="1" applyFont="1" applyFill="1" applyBorder="1" applyAlignment="1">
      <alignment horizontal="center" vertical="center"/>
    </xf>
    <xf numFmtId="182" fontId="71" fillId="2" borderId="64" xfId="80" applyNumberFormat="1" applyFont="1" applyFill="1" applyBorder="1" applyAlignment="1">
      <alignment horizontal="center" vertical="center"/>
    </xf>
    <xf numFmtId="0" fontId="73" fillId="49" borderId="0" xfId="80" applyNumberFormat="1" applyFont="1" applyFill="1" applyBorder="1" applyAlignment="1">
      <alignment vertical="center" wrapText="1"/>
    </xf>
    <xf numFmtId="183" fontId="73" fillId="49" borderId="0" xfId="80" applyNumberFormat="1" applyFont="1" applyFill="1" applyBorder="1" applyAlignment="1">
      <alignment vertical="center" wrapText="1"/>
    </xf>
    <xf numFmtId="0" fontId="69" fillId="0" borderId="0" xfId="80" applyFont="1" applyFill="1" applyBorder="1" applyAlignment="1">
      <alignment horizontal="center" vertical="center" wrapText="1"/>
    </xf>
    <xf numFmtId="183" fontId="24" fillId="0" borderId="0" xfId="80" applyNumberFormat="1" applyFont="1" applyFill="1" applyAlignment="1">
      <alignment vertical="center" wrapText="1"/>
    </xf>
    <xf numFmtId="38" fontId="24" fillId="0" borderId="0" xfId="76" applyFont="1" applyAlignment="1">
      <alignment vertical="center" wrapText="1"/>
    </xf>
    <xf numFmtId="0" fontId="24" fillId="0" borderId="0" xfId="80" applyFont="1" applyFill="1" applyBorder="1" applyAlignment="1">
      <alignment horizontal="center" vertical="center" wrapText="1"/>
    </xf>
    <xf numFmtId="183" fontId="24" fillId="0" borderId="0" xfId="80" applyNumberFormat="1" applyFont="1" applyFill="1" applyBorder="1" applyAlignment="1">
      <alignment vertical="center" wrapText="1"/>
    </xf>
    <xf numFmtId="0" fontId="42" fillId="2" borderId="64" xfId="80" applyNumberFormat="1" applyFont="1" applyFill="1" applyBorder="1" applyAlignment="1">
      <alignment horizontal="center" vertical="center" wrapText="1"/>
    </xf>
    <xf numFmtId="0" fontId="40" fillId="0" borderId="0" xfId="137" applyNumberFormat="1" applyFont="1">
      <alignment vertical="center"/>
    </xf>
    <xf numFmtId="0" fontId="73" fillId="51" borderId="2" xfId="137" applyFont="1" applyFill="1" applyBorder="1" applyAlignment="1">
      <alignment vertical="center"/>
    </xf>
    <xf numFmtId="0" fontId="73" fillId="51" borderId="3" xfId="137" applyFont="1" applyFill="1" applyBorder="1" applyAlignment="1">
      <alignment vertical="center"/>
    </xf>
    <xf numFmtId="0" fontId="73" fillId="51" borderId="4" xfId="137" applyFont="1" applyFill="1" applyBorder="1" applyAlignment="1">
      <alignment vertical="center"/>
    </xf>
    <xf numFmtId="14" fontId="24" fillId="0" borderId="0" xfId="80" applyNumberFormat="1" applyFont="1">
      <alignment vertical="center"/>
    </xf>
    <xf numFmtId="0" fontId="76" fillId="53" borderId="64" xfId="0" applyFont="1" applyFill="1" applyBorder="1" applyAlignment="1">
      <alignment horizontal="center" vertical="center" wrapText="1"/>
    </xf>
    <xf numFmtId="183" fontId="76" fillId="53" borderId="64" xfId="0" applyNumberFormat="1" applyFont="1" applyFill="1" applyBorder="1" applyAlignment="1">
      <alignment horizontal="center" vertical="center" wrapText="1"/>
    </xf>
    <xf numFmtId="38" fontId="76" fillId="53" borderId="64" xfId="76" applyFont="1" applyFill="1" applyBorder="1" applyAlignment="1">
      <alignment horizontal="center" vertical="center" wrapText="1"/>
    </xf>
    <xf numFmtId="181" fontId="71" fillId="47" borderId="64" xfId="148" applyNumberFormat="1" applyFont="1" applyFill="1" applyBorder="1" applyAlignment="1">
      <alignment horizontal="center" vertical="center"/>
    </xf>
    <xf numFmtId="182" fontId="23" fillId="47" borderId="54" xfId="80" applyNumberFormat="1" applyFont="1" applyFill="1" applyBorder="1" applyAlignment="1">
      <alignment horizontal="center" vertical="center"/>
    </xf>
    <xf numFmtId="38" fontId="38" fillId="4" borderId="34" xfId="76" applyFont="1" applyFill="1" applyBorder="1" applyAlignment="1">
      <alignment horizontal="center" vertical="center" wrapText="1"/>
    </xf>
    <xf numFmtId="0" fontId="0" fillId="0" borderId="0" xfId="0" applyBorder="1" applyAlignment="1">
      <alignment horizontal="center" vertical="center"/>
    </xf>
    <xf numFmtId="182" fontId="0" fillId="4" borderId="64" xfId="0" applyNumberFormat="1" applyFill="1" applyBorder="1" applyAlignment="1">
      <alignment horizontal="center" vertical="center"/>
    </xf>
    <xf numFmtId="0" fontId="0" fillId="13" borderId="64" xfId="0" applyFill="1" applyBorder="1">
      <alignment vertical="center"/>
    </xf>
    <xf numFmtId="38" fontId="0" fillId="55" borderId="64" xfId="76" applyFont="1" applyFill="1" applyBorder="1">
      <alignment vertical="center"/>
    </xf>
    <xf numFmtId="0" fontId="24" fillId="0" borderId="64" xfId="0" applyFont="1" applyBorder="1" applyAlignment="1">
      <alignment horizontal="left" vertical="center"/>
    </xf>
    <xf numFmtId="0" fontId="0" fillId="46" borderId="64" xfId="0" applyFill="1" applyBorder="1">
      <alignment vertical="center"/>
    </xf>
    <xf numFmtId="0" fontId="24" fillId="14" borderId="5" xfId="0" applyFont="1" applyFill="1" applyBorder="1" applyAlignment="1">
      <alignment horizontal="center" vertical="center"/>
    </xf>
    <xf numFmtId="0" fontId="24" fillId="54" borderId="5" xfId="0" applyFont="1" applyFill="1" applyBorder="1" applyAlignment="1">
      <alignment horizontal="center" vertical="center"/>
    </xf>
    <xf numFmtId="0" fontId="24" fillId="11" borderId="5" xfId="0" applyFont="1" applyFill="1" applyBorder="1" applyAlignment="1">
      <alignment horizontal="center" vertical="center"/>
    </xf>
    <xf numFmtId="0" fontId="0" fillId="0" borderId="64" xfId="0" applyBorder="1" applyAlignment="1">
      <alignment vertical="center"/>
    </xf>
    <xf numFmtId="0" fontId="42" fillId="4" borderId="76" xfId="0" applyFont="1" applyFill="1" applyBorder="1" applyAlignment="1">
      <alignment horizontal="center" vertical="center"/>
    </xf>
    <xf numFmtId="0" fontId="42" fillId="4" borderId="77" xfId="0" applyFont="1" applyFill="1" applyBorder="1" applyAlignment="1">
      <alignment horizontal="center" vertical="center"/>
    </xf>
    <xf numFmtId="0" fontId="42" fillId="4" borderId="78" xfId="0" applyFont="1" applyFill="1" applyBorder="1" applyAlignment="1">
      <alignment horizontal="center" vertical="center"/>
    </xf>
    <xf numFmtId="0" fontId="40" fillId="46" borderId="82" xfId="0" applyFont="1" applyFill="1" applyBorder="1" applyAlignment="1">
      <alignment horizontal="center" vertical="center" wrapText="1"/>
    </xf>
    <xf numFmtId="0" fontId="40" fillId="46" borderId="73" xfId="0" applyNumberFormat="1" applyFont="1" applyFill="1" applyBorder="1" applyAlignment="1">
      <alignment horizontal="left" vertical="center" wrapText="1"/>
    </xf>
    <xf numFmtId="14" fontId="40" fillId="10" borderId="73" xfId="0" applyNumberFormat="1" applyFont="1" applyFill="1" applyBorder="1" applyAlignment="1">
      <alignment vertical="center"/>
    </xf>
    <xf numFmtId="180" fontId="40" fillId="46" borderId="73" xfId="0" applyNumberFormat="1" applyFont="1" applyFill="1" applyBorder="1" applyAlignment="1">
      <alignment vertical="center"/>
    </xf>
    <xf numFmtId="14" fontId="40" fillId="10" borderId="89" xfId="0" applyNumberFormat="1" applyFont="1" applyFill="1" applyBorder="1" applyAlignment="1">
      <alignment vertical="center" wrapText="1"/>
    </xf>
    <xf numFmtId="177" fontId="40" fillId="10" borderId="73" xfId="0" applyNumberFormat="1" applyFont="1" applyFill="1" applyBorder="1" applyAlignment="1">
      <alignment horizontal="right" vertical="center" wrapText="1"/>
    </xf>
    <xf numFmtId="0" fontId="38" fillId="46" borderId="34" xfId="0" applyNumberFormat="1" applyFont="1" applyFill="1" applyBorder="1" applyAlignment="1">
      <alignment horizontal="center" vertical="center" wrapText="1"/>
    </xf>
    <xf numFmtId="0" fontId="38" fillId="13" borderId="34" xfId="0" applyFont="1" applyFill="1" applyBorder="1" applyAlignment="1">
      <alignment horizontal="center" vertical="center" wrapText="1"/>
    </xf>
    <xf numFmtId="0" fontId="40" fillId="0" borderId="64" xfId="137" applyFont="1" applyBorder="1" applyAlignment="1">
      <alignment horizontal="center" vertical="center"/>
    </xf>
    <xf numFmtId="38" fontId="40" fillId="0" borderId="0" xfId="137" applyNumberFormat="1" applyFont="1">
      <alignment vertical="center"/>
    </xf>
    <xf numFmtId="0" fontId="40" fillId="0" borderId="0" xfId="137" applyFont="1" applyAlignment="1">
      <alignment horizontal="center" vertical="center" wrapText="1"/>
    </xf>
    <xf numFmtId="0" fontId="73" fillId="51" borderId="3" xfId="137" applyFont="1" applyFill="1" applyBorder="1" applyAlignment="1">
      <alignment horizontal="center" vertical="center"/>
    </xf>
    <xf numFmtId="181" fontId="80" fillId="0" borderId="44" xfId="137" applyNumberFormat="1" applyFont="1" applyBorder="1" applyAlignment="1">
      <alignment horizontal="right" vertical="center"/>
    </xf>
    <xf numFmtId="0" fontId="23" fillId="0" borderId="0" xfId="0" applyFont="1" applyBorder="1" applyAlignment="1">
      <alignment vertical="center"/>
    </xf>
    <xf numFmtId="0" fontId="80" fillId="12" borderId="64" xfId="0" applyFont="1" applyFill="1" applyBorder="1" applyAlignment="1">
      <alignment horizontal="center" vertical="center"/>
    </xf>
    <xf numFmtId="0" fontId="80" fillId="3" borderId="64" xfId="0" applyFont="1" applyFill="1" applyBorder="1" applyAlignment="1">
      <alignment horizontal="center" vertical="center"/>
    </xf>
    <xf numFmtId="0" fontId="80" fillId="46" borderId="64" xfId="0" applyFont="1" applyFill="1" applyBorder="1" applyAlignment="1">
      <alignment horizontal="center" vertical="center"/>
    </xf>
    <xf numFmtId="0" fontId="23" fillId="46" borderId="64" xfId="0" applyFont="1" applyFill="1" applyBorder="1" applyAlignment="1">
      <alignment horizontal="center" vertical="center"/>
    </xf>
    <xf numFmtId="0" fontId="72" fillId="56" borderId="64" xfId="0" applyFont="1" applyFill="1" applyBorder="1" applyAlignment="1">
      <alignment horizontal="center" vertical="center"/>
    </xf>
    <xf numFmtId="0" fontId="72" fillId="57" borderId="64" xfId="0" applyFont="1" applyFill="1" applyBorder="1" applyAlignment="1">
      <alignment horizontal="center" vertical="center"/>
    </xf>
    <xf numFmtId="0" fontId="72" fillId="58" borderId="64" xfId="0" applyFont="1" applyFill="1" applyBorder="1" applyAlignment="1">
      <alignment horizontal="center" vertical="center"/>
    </xf>
    <xf numFmtId="0" fontId="72" fillId="59" borderId="64" xfId="0" applyFont="1" applyFill="1" applyBorder="1" applyAlignment="1">
      <alignment horizontal="center" vertical="center"/>
    </xf>
    <xf numFmtId="0" fontId="72" fillId="5" borderId="64" xfId="0" applyFont="1" applyFill="1" applyBorder="1" applyAlignment="1">
      <alignment horizontal="center" vertical="center" wrapText="1"/>
    </xf>
    <xf numFmtId="0" fontId="72" fillId="5" borderId="64" xfId="0" applyFont="1" applyFill="1" applyBorder="1" applyAlignment="1">
      <alignment horizontal="center" vertical="center"/>
    </xf>
    <xf numFmtId="0" fontId="72" fillId="48" borderId="64" xfId="0" applyFont="1" applyFill="1" applyBorder="1" applyAlignment="1">
      <alignment horizontal="center" vertical="center"/>
    </xf>
    <xf numFmtId="0" fontId="23" fillId="2" borderId="64" xfId="0" applyFont="1" applyFill="1" applyBorder="1" applyAlignment="1">
      <alignment horizontal="center" vertical="center"/>
    </xf>
    <xf numFmtId="0" fontId="24" fillId="0" borderId="0" xfId="0" applyFont="1" applyFill="1" applyBorder="1" applyAlignment="1">
      <alignment horizontal="center" vertical="center"/>
    </xf>
    <xf numFmtId="182" fontId="24" fillId="0" borderId="64" xfId="0" applyNumberFormat="1" applyFont="1" applyBorder="1" applyAlignment="1">
      <alignment horizontal="center" vertical="center"/>
    </xf>
    <xf numFmtId="0" fontId="0" fillId="0" borderId="64" xfId="0" applyBorder="1" applyAlignment="1">
      <alignment horizontal="center" vertical="center"/>
    </xf>
    <xf numFmtId="38" fontId="0" fillId="0" borderId="64" xfId="76" applyFont="1" applyBorder="1" applyAlignment="1">
      <alignment horizontal="right" vertical="center"/>
    </xf>
    <xf numFmtId="55" fontId="23" fillId="2" borderId="64" xfId="0" applyNumberFormat="1" applyFont="1" applyFill="1" applyBorder="1" applyAlignment="1">
      <alignment horizontal="center" vertical="center"/>
    </xf>
    <xf numFmtId="182" fontId="24" fillId="0" borderId="0" xfId="80" applyNumberFormat="1" applyFont="1" applyFill="1" applyBorder="1" applyAlignment="1">
      <alignment horizontal="center" vertical="center"/>
    </xf>
    <xf numFmtId="0" fontId="38" fillId="10" borderId="34" xfId="0" applyFont="1" applyFill="1" applyBorder="1" applyAlignment="1">
      <alignment horizontal="center" vertical="center" wrapText="1"/>
    </xf>
    <xf numFmtId="179" fontId="38" fillId="10" borderId="34" xfId="0" applyNumberFormat="1" applyFont="1" applyFill="1" applyBorder="1" applyAlignment="1">
      <alignment horizontal="center" vertical="center" wrapText="1"/>
    </xf>
    <xf numFmtId="0" fontId="73" fillId="49" borderId="0" xfId="80" applyNumberFormat="1" applyFont="1" applyFill="1" applyBorder="1" applyAlignment="1">
      <alignment horizontal="center" vertical="center"/>
    </xf>
    <xf numFmtId="0" fontId="40" fillId="10" borderId="72" xfId="0" applyNumberFormat="1" applyFont="1" applyFill="1" applyBorder="1" applyAlignment="1">
      <alignment vertical="center" wrapText="1"/>
    </xf>
    <xf numFmtId="38" fontId="40" fillId="46" borderId="34" xfId="76" applyFont="1" applyFill="1" applyBorder="1" applyAlignment="1">
      <alignment horizontal="center" vertical="center" wrapText="1"/>
    </xf>
    <xf numFmtId="0" fontId="24" fillId="0" borderId="64" xfId="0" applyFont="1" applyFill="1" applyBorder="1" applyAlignment="1">
      <alignment horizontal="center" vertical="center"/>
    </xf>
    <xf numFmtId="0" fontId="43" fillId="0" borderId="55" xfId="0" applyFont="1" applyBorder="1" applyAlignment="1">
      <alignment horizontal="center" vertical="center"/>
    </xf>
    <xf numFmtId="0" fontId="23" fillId="0" borderId="55" xfId="0" applyFont="1" applyBorder="1" applyAlignment="1">
      <alignment vertical="center"/>
    </xf>
    <xf numFmtId="0" fontId="80" fillId="61" borderId="64" xfId="0" applyFont="1" applyFill="1" applyBorder="1" applyAlignment="1">
      <alignment horizontal="center" vertical="center"/>
    </xf>
    <xf numFmtId="0" fontId="80" fillId="62" borderId="64" xfId="0" applyFont="1" applyFill="1" applyBorder="1" applyAlignment="1">
      <alignment horizontal="center" vertical="center"/>
    </xf>
    <xf numFmtId="0" fontId="0" fillId="2" borderId="64" xfId="0" applyFill="1" applyBorder="1" applyAlignment="1">
      <alignment horizontal="center" vertical="center"/>
    </xf>
    <xf numFmtId="0" fontId="66" fillId="2" borderId="5" xfId="0" applyFont="1" applyFill="1" applyBorder="1" applyAlignment="1">
      <alignment horizontal="center" vertical="center" readingOrder="1"/>
    </xf>
    <xf numFmtId="0" fontId="46" fillId="0" borderId="64" xfId="0" applyFont="1" applyBorder="1" applyAlignment="1">
      <alignment horizontal="center" vertical="center" readingOrder="1"/>
    </xf>
    <xf numFmtId="0" fontId="24" fillId="0" borderId="64" xfId="0" applyFont="1" applyBorder="1" applyAlignment="1">
      <alignment vertical="center"/>
    </xf>
    <xf numFmtId="0" fontId="0" fillId="2" borderId="2" xfId="0" applyFill="1" applyBorder="1" applyAlignment="1">
      <alignment horizontal="center" vertical="center"/>
    </xf>
    <xf numFmtId="38" fontId="0" fillId="0" borderId="64" xfId="76" applyFont="1" applyBorder="1" applyAlignment="1">
      <alignment vertical="center"/>
    </xf>
    <xf numFmtId="181" fontId="38" fillId="4" borderId="34" xfId="0" applyNumberFormat="1" applyFont="1" applyFill="1" applyBorder="1" applyAlignment="1">
      <alignment horizontal="center" vertical="center" wrapText="1"/>
    </xf>
    <xf numFmtId="181" fontId="24" fillId="10" borderId="34" xfId="0" applyNumberFormat="1" applyFont="1" applyFill="1" applyBorder="1" applyAlignment="1">
      <alignment vertical="center" wrapText="1"/>
    </xf>
    <xf numFmtId="0" fontId="73" fillId="61" borderId="0" xfId="80" applyNumberFormat="1" applyFont="1" applyFill="1" applyBorder="1" applyAlignment="1">
      <alignment vertical="center"/>
    </xf>
    <xf numFmtId="0" fontId="73" fillId="61" borderId="0" xfId="80" applyNumberFormat="1" applyFont="1" applyFill="1" applyBorder="1" applyAlignment="1">
      <alignment vertical="center" wrapText="1"/>
    </xf>
    <xf numFmtId="181" fontId="42" fillId="2" borderId="54" xfId="80" applyNumberFormat="1" applyFont="1" applyFill="1" applyBorder="1" applyAlignment="1">
      <alignment horizontal="center" vertical="center" wrapText="1"/>
    </xf>
    <xf numFmtId="181" fontId="24" fillId="0" borderId="0" xfId="80" applyNumberFormat="1" applyFont="1" applyBorder="1" applyAlignment="1">
      <alignment horizontal="center" vertical="center"/>
    </xf>
    <xf numFmtId="181" fontId="24" fillId="0" borderId="0" xfId="80" applyNumberFormat="1" applyFont="1" applyBorder="1" applyAlignment="1">
      <alignment horizontal="center" vertical="center" wrapText="1" shrinkToFit="1"/>
    </xf>
    <xf numFmtId="181" fontId="73" fillId="61" borderId="0" xfId="80" applyNumberFormat="1" applyFont="1" applyFill="1" applyBorder="1" applyAlignment="1">
      <alignment horizontal="left" vertical="center"/>
    </xf>
    <xf numFmtId="181" fontId="42" fillId="2" borderId="64" xfId="80" applyNumberFormat="1" applyFont="1" applyFill="1" applyBorder="1" applyAlignment="1">
      <alignment horizontal="center" vertical="center" wrapText="1"/>
    </xf>
    <xf numFmtId="1" fontId="40" fillId="0" borderId="64" xfId="80" applyNumberFormat="1" applyFont="1" applyBorder="1" applyAlignment="1">
      <alignment vertical="center" wrapText="1"/>
    </xf>
    <xf numFmtId="0" fontId="40" fillId="0" borderId="64" xfId="80" applyFont="1" applyBorder="1" applyAlignment="1">
      <alignment vertical="center" wrapText="1"/>
    </xf>
    <xf numFmtId="0" fontId="42" fillId="2" borderId="64" xfId="80" applyFont="1" applyFill="1" applyBorder="1" applyAlignment="1">
      <alignment horizontal="center" vertical="center"/>
    </xf>
    <xf numFmtId="0" fontId="24" fillId="0" borderId="64" xfId="80" applyFont="1" applyBorder="1" applyAlignment="1">
      <alignment horizontal="center" vertical="center"/>
    </xf>
    <xf numFmtId="0" fontId="24" fillId="0" borderId="0" xfId="76" applyNumberFormat="1" applyFont="1" applyAlignment="1">
      <alignment vertical="center" wrapText="1"/>
    </xf>
    <xf numFmtId="0" fontId="76" fillId="53" borderId="64" xfId="76" applyNumberFormat="1" applyFont="1" applyFill="1" applyBorder="1" applyAlignment="1">
      <alignment horizontal="center" vertical="center" wrapText="1"/>
    </xf>
    <xf numFmtId="0" fontId="24" fillId="0" borderId="0" xfId="76" applyNumberFormat="1" applyFont="1" applyBorder="1" applyAlignment="1">
      <alignment vertical="center" wrapText="1"/>
    </xf>
    <xf numFmtId="3" fontId="40" fillId="0" borderId="64" xfId="80" applyNumberFormat="1" applyFont="1" applyBorder="1" applyAlignment="1">
      <alignment vertical="center" wrapText="1"/>
    </xf>
    <xf numFmtId="0" fontId="24" fillId="0" borderId="64" xfId="0" applyFont="1" applyFill="1" applyBorder="1" applyAlignment="1">
      <alignment horizontal="center" vertical="center"/>
    </xf>
    <xf numFmtId="181" fontId="73" fillId="49" borderId="0" xfId="80" applyNumberFormat="1" applyFont="1" applyFill="1" applyBorder="1" applyAlignment="1">
      <alignment vertical="center"/>
    </xf>
    <xf numFmtId="181" fontId="69" fillId="0" borderId="0" xfId="80" applyNumberFormat="1" applyFont="1" applyFill="1" applyBorder="1" applyAlignment="1">
      <alignment vertical="center"/>
    </xf>
    <xf numFmtId="183" fontId="73" fillId="49" borderId="0" xfId="80" applyNumberFormat="1" applyFont="1" applyFill="1" applyBorder="1" applyAlignment="1">
      <alignment vertical="center"/>
    </xf>
    <xf numFmtId="182" fontId="40" fillId="0" borderId="64" xfId="137" applyNumberFormat="1" applyFont="1" applyFill="1" applyBorder="1" applyAlignment="1">
      <alignment horizontal="center" vertical="center"/>
    </xf>
    <xf numFmtId="0" fontId="40" fillId="0" borderId="64" xfId="137" applyFont="1" applyFill="1" applyBorder="1" applyAlignment="1">
      <alignment horizontal="left" vertical="center" wrapText="1"/>
    </xf>
    <xf numFmtId="178" fontId="40" fillId="0" borderId="64" xfId="137" applyNumberFormat="1" applyFont="1" applyFill="1" applyBorder="1" applyAlignment="1">
      <alignment horizontal="right" vertical="center"/>
    </xf>
    <xf numFmtId="0" fontId="40" fillId="0" borderId="64" xfId="137" applyFont="1" applyFill="1" applyBorder="1" applyAlignment="1">
      <alignment horizontal="center" vertical="center"/>
    </xf>
    <xf numFmtId="0" fontId="40" fillId="0" borderId="64" xfId="137" applyFont="1" applyFill="1" applyBorder="1" applyAlignment="1">
      <alignment horizontal="center" vertical="center" wrapText="1"/>
    </xf>
    <xf numFmtId="0" fontId="42" fillId="4" borderId="34" xfId="0" applyFont="1" applyFill="1" applyBorder="1" applyAlignment="1">
      <alignment horizontal="center" vertical="center"/>
    </xf>
    <xf numFmtId="0" fontId="42" fillId="10" borderId="68" xfId="0" applyFont="1" applyFill="1" applyBorder="1" applyAlignment="1">
      <alignment horizontal="center" vertical="center" wrapText="1"/>
    </xf>
    <xf numFmtId="0" fontId="24" fillId="5" borderId="0" xfId="80" applyFont="1" applyFill="1" applyAlignment="1">
      <alignment horizontal="center" vertical="center"/>
    </xf>
    <xf numFmtId="181" fontId="24" fillId="0" borderId="0" xfId="80" applyNumberFormat="1" applyFont="1" applyAlignment="1">
      <alignment vertical="center" wrapText="1"/>
    </xf>
    <xf numFmtId="0" fontId="23" fillId="0" borderId="0" xfId="80" applyFont="1" applyAlignment="1">
      <alignment horizontal="center" vertical="center"/>
    </xf>
    <xf numFmtId="0" fontId="42" fillId="4" borderId="37" xfId="0" applyFont="1" applyFill="1" applyBorder="1" applyAlignment="1">
      <alignment horizontal="center" vertical="center"/>
    </xf>
    <xf numFmtId="0" fontId="42" fillId="4" borderId="34" xfId="0" applyFont="1" applyFill="1" applyBorder="1" applyAlignment="1">
      <alignment horizontal="center" vertical="center"/>
    </xf>
    <xf numFmtId="0" fontId="42" fillId="4" borderId="34" xfId="0" applyFont="1" applyFill="1" applyBorder="1" applyAlignment="1">
      <alignment horizontal="center" vertical="center"/>
    </xf>
    <xf numFmtId="0" fontId="40" fillId="46" borderId="91" xfId="0" applyFont="1" applyFill="1" applyBorder="1" applyAlignment="1">
      <alignment horizontal="center" vertical="center" wrapText="1"/>
    </xf>
    <xf numFmtId="17" fontId="40" fillId="0" borderId="0" xfId="0" applyNumberFormat="1" applyFont="1" applyFill="1" applyAlignment="1">
      <alignment horizontal="left" vertical="center"/>
    </xf>
    <xf numFmtId="0" fontId="40" fillId="63" borderId="37" xfId="0" applyFont="1" applyFill="1" applyBorder="1" applyAlignment="1">
      <alignment horizontal="center" vertical="center"/>
    </xf>
    <xf numFmtId="0" fontId="24" fillId="0" borderId="0" xfId="80" applyFont="1" applyFill="1" applyBorder="1">
      <alignment vertical="center"/>
    </xf>
    <xf numFmtId="0" fontId="40" fillId="0" borderId="0" xfId="80" applyNumberFormat="1" applyFont="1" applyFill="1" applyBorder="1" applyAlignment="1">
      <alignment horizontal="center" vertical="center" shrinkToFit="1"/>
    </xf>
    <xf numFmtId="0" fontId="40" fillId="0" borderId="0" xfId="80" applyFont="1" applyFill="1" applyBorder="1" applyAlignment="1">
      <alignment horizontal="center" vertical="center" shrinkToFit="1"/>
    </xf>
    <xf numFmtId="181" fontId="40" fillId="0" borderId="0" xfId="80" applyNumberFormat="1" applyFont="1" applyFill="1" applyBorder="1" applyAlignment="1">
      <alignment horizontal="right" vertical="center" wrapText="1" shrinkToFit="1"/>
    </xf>
    <xf numFmtId="181" fontId="40" fillId="0" borderId="0" xfId="80" applyNumberFormat="1" applyFont="1" applyFill="1" applyBorder="1" applyAlignment="1">
      <alignment horizontal="center" vertical="center"/>
    </xf>
    <xf numFmtId="0" fontId="40" fillId="0" borderId="0" xfId="80" applyNumberFormat="1" applyFont="1" applyFill="1" applyBorder="1" applyAlignment="1">
      <alignment horizontal="left" vertical="center" wrapText="1"/>
    </xf>
    <xf numFmtId="38" fontId="24" fillId="0" borderId="0" xfId="76" applyFont="1" applyFill="1" applyBorder="1" applyAlignment="1">
      <alignment vertical="center" wrapText="1"/>
    </xf>
    <xf numFmtId="0" fontId="40" fillId="0" borderId="0" xfId="80" applyNumberFormat="1" applyFont="1" applyFill="1" applyBorder="1" applyAlignment="1">
      <alignment horizontal="left" vertical="center" wrapText="1" shrinkToFit="1"/>
    </xf>
    <xf numFmtId="0" fontId="40" fillId="0" borderId="0" xfId="80" applyNumberFormat="1" applyFont="1" applyFill="1" applyBorder="1" applyAlignment="1">
      <alignment horizontal="center" vertical="center" wrapText="1" shrinkToFit="1"/>
    </xf>
    <xf numFmtId="185" fontId="40" fillId="0" borderId="0" xfId="137" applyNumberFormat="1" applyFont="1" applyAlignment="1">
      <alignment horizontal="center" vertical="center"/>
    </xf>
    <xf numFmtId="185" fontId="24" fillId="0" borderId="0" xfId="80" applyNumberFormat="1" applyFont="1" applyBorder="1">
      <alignment vertical="center"/>
    </xf>
    <xf numFmtId="185" fontId="40" fillId="0" borderId="0" xfId="80" applyNumberFormat="1" applyFont="1">
      <alignment vertical="center"/>
    </xf>
    <xf numFmtId="185" fontId="24" fillId="0" borderId="0" xfId="80" applyNumberFormat="1" applyFont="1" applyFill="1" applyBorder="1">
      <alignment vertical="center"/>
    </xf>
    <xf numFmtId="185" fontId="40" fillId="0" borderId="0" xfId="137" applyNumberFormat="1" applyFont="1">
      <alignment vertical="center"/>
    </xf>
    <xf numFmtId="0" fontId="42" fillId="4" borderId="34" xfId="0" applyFont="1" applyFill="1" applyBorder="1" applyAlignment="1">
      <alignment horizontal="center" vertical="center"/>
    </xf>
    <xf numFmtId="182" fontId="40" fillId="46" borderId="83" xfId="0" applyNumberFormat="1" applyFont="1" applyFill="1" applyBorder="1" applyAlignment="1">
      <alignment horizontal="center" vertical="center" wrapText="1"/>
    </xf>
    <xf numFmtId="0" fontId="40" fillId="0" borderId="0" xfId="0" applyFont="1" applyFill="1" applyAlignment="1">
      <alignment vertical="center" wrapText="1"/>
    </xf>
    <xf numFmtId="0" fontId="38" fillId="2" borderId="34" xfId="0" applyFont="1" applyFill="1" applyBorder="1" applyAlignment="1">
      <alignment horizontal="center" vertical="center" wrapText="1"/>
    </xf>
    <xf numFmtId="0" fontId="38" fillId="0" borderId="34" xfId="0" applyFont="1" applyFill="1" applyBorder="1" applyAlignment="1">
      <alignment horizontal="center" vertical="center" wrapText="1"/>
    </xf>
    <xf numFmtId="0" fontId="71" fillId="2" borderId="44" xfId="137" applyFont="1" applyFill="1" applyBorder="1" applyAlignment="1">
      <alignment horizontal="center" vertical="center"/>
    </xf>
    <xf numFmtId="0" fontId="42" fillId="4" borderId="34" xfId="0" applyFont="1" applyFill="1" applyBorder="1" applyAlignment="1">
      <alignment horizontal="center" vertical="center"/>
    </xf>
    <xf numFmtId="182" fontId="23" fillId="8" borderId="54" xfId="80" applyNumberFormat="1" applyFont="1" applyFill="1" applyBorder="1" applyAlignment="1">
      <alignment horizontal="center" vertical="center"/>
    </xf>
    <xf numFmtId="0" fontId="40" fillId="0" borderId="0" xfId="0" applyFont="1" applyAlignment="1">
      <alignment vertical="center"/>
    </xf>
    <xf numFmtId="0" fontId="81" fillId="50" borderId="34" xfId="0" applyFont="1" applyFill="1" applyBorder="1" applyAlignment="1">
      <alignment horizontal="center" vertical="center"/>
    </xf>
    <xf numFmtId="14" fontId="40" fillId="0" borderId="0" xfId="0" applyNumberFormat="1" applyFont="1" applyAlignment="1">
      <alignment vertical="center"/>
    </xf>
    <xf numFmtId="0" fontId="66" fillId="2" borderId="64" xfId="77" applyFont="1" applyFill="1" applyBorder="1" applyAlignment="1">
      <alignment horizontal="center" vertical="center" wrapText="1" readingOrder="1"/>
    </xf>
    <xf numFmtId="0" fontId="66" fillId="0" borderId="64" xfId="77" applyFont="1" applyBorder="1" applyAlignment="1">
      <alignment horizontal="left" vertical="center" wrapText="1" readingOrder="1"/>
    </xf>
    <xf numFmtId="181" fontId="66" fillId="0" borderId="64" xfId="77" applyNumberFormat="1" applyFont="1" applyBorder="1" applyAlignment="1">
      <alignment horizontal="right" vertical="center" wrapText="1" readingOrder="1"/>
    </xf>
    <xf numFmtId="181" fontId="66" fillId="2" borderId="64" xfId="77" applyNumberFormat="1" applyFont="1" applyFill="1" applyBorder="1" applyAlignment="1">
      <alignment horizontal="center" vertical="center" wrapText="1" readingOrder="1"/>
    </xf>
    <xf numFmtId="0" fontId="24" fillId="0" borderId="64" xfId="77" applyFont="1" applyBorder="1" applyAlignment="1">
      <alignment horizontal="center" vertical="center"/>
    </xf>
    <xf numFmtId="181" fontId="82" fillId="0" borderId="0" xfId="80" applyNumberFormat="1" applyFont="1" applyFill="1" applyBorder="1" applyAlignment="1">
      <alignment vertical="center"/>
    </xf>
    <xf numFmtId="0" fontId="67" fillId="4" borderId="36" xfId="0" applyFont="1" applyFill="1" applyBorder="1" applyAlignment="1"/>
    <xf numFmtId="0" fontId="43" fillId="10" borderId="40" xfId="0" applyFont="1" applyFill="1" applyBorder="1" applyAlignment="1">
      <alignment horizontal="center" vertical="center"/>
    </xf>
    <xf numFmtId="0" fontId="40" fillId="0" borderId="5" xfId="137" applyFont="1" applyFill="1" applyBorder="1" applyAlignment="1">
      <alignment horizontal="left" vertical="center" wrapText="1"/>
    </xf>
    <xf numFmtId="0" fontId="40" fillId="8" borderId="34" xfId="0" applyFont="1" applyFill="1" applyBorder="1" applyAlignment="1">
      <alignment horizontal="center" vertical="center" wrapText="1"/>
    </xf>
    <xf numFmtId="0" fontId="40" fillId="8" borderId="34" xfId="0" applyFont="1" applyFill="1" applyBorder="1" applyAlignment="1">
      <alignment horizontal="center" vertical="center"/>
    </xf>
    <xf numFmtId="0" fontId="40" fillId="8" borderId="91" xfId="0" applyFont="1" applyFill="1" applyBorder="1" applyAlignment="1">
      <alignment horizontal="center" vertical="center" wrapText="1"/>
    </xf>
    <xf numFmtId="0" fontId="40" fillId="8" borderId="37" xfId="0" applyNumberFormat="1" applyFont="1" applyFill="1" applyBorder="1" applyAlignment="1">
      <alignment vertical="center" wrapText="1"/>
    </xf>
    <xf numFmtId="0" fontId="40" fillId="8" borderId="37" xfId="0" applyNumberFormat="1" applyFont="1" applyFill="1" applyBorder="1" applyAlignment="1">
      <alignment horizontal="center" vertical="center" wrapText="1"/>
    </xf>
    <xf numFmtId="14" fontId="83" fillId="4" borderId="34" xfId="0" applyNumberFormat="1" applyFont="1" applyFill="1" applyBorder="1" applyAlignment="1">
      <alignment horizontal="center" vertical="center" wrapText="1"/>
    </xf>
    <xf numFmtId="0" fontId="38" fillId="0" borderId="0" xfId="0" applyFont="1" applyAlignment="1">
      <alignment vertical="center" wrapText="1"/>
    </xf>
    <xf numFmtId="0" fontId="38" fillId="2" borderId="34" xfId="0" applyNumberFormat="1" applyFont="1" applyFill="1" applyBorder="1" applyAlignment="1">
      <alignment horizontal="center" vertical="center" wrapText="1"/>
    </xf>
    <xf numFmtId="0" fontId="38" fillId="0" borderId="0" xfId="0" applyNumberFormat="1" applyFont="1" applyAlignment="1">
      <alignment horizontal="left" vertical="center" wrapText="1"/>
    </xf>
    <xf numFmtId="0" fontId="84" fillId="50" borderId="34" xfId="0" applyFont="1" applyFill="1" applyBorder="1" applyAlignment="1">
      <alignment horizontal="center" vertical="center"/>
    </xf>
    <xf numFmtId="0" fontId="38" fillId="0" borderId="0" xfId="0" applyFont="1" applyAlignment="1">
      <alignment horizontal="left" vertical="center" wrapText="1"/>
    </xf>
    <xf numFmtId="181" fontId="38" fillId="0" borderId="0" xfId="0" applyNumberFormat="1" applyFont="1" applyAlignment="1">
      <alignment horizontal="right" vertical="center" wrapText="1"/>
    </xf>
    <xf numFmtId="180" fontId="38" fillId="0" borderId="0" xfId="0" applyNumberFormat="1" applyFont="1" applyAlignment="1">
      <alignment horizontal="right" vertical="center" wrapText="1"/>
    </xf>
    <xf numFmtId="38" fontId="38" fillId="0" borderId="0" xfId="76" applyFont="1" applyAlignment="1">
      <alignment horizontal="left" vertical="center" wrapText="1"/>
    </xf>
    <xf numFmtId="181" fontId="38" fillId="0" borderId="0" xfId="0" applyNumberFormat="1" applyFont="1" applyAlignment="1">
      <alignment horizontal="center" vertical="center" wrapText="1"/>
    </xf>
    <xf numFmtId="14" fontId="38" fillId="0" borderId="0" xfId="0" applyNumberFormat="1" applyFont="1" applyAlignment="1">
      <alignment horizontal="center" vertical="center" wrapText="1"/>
    </xf>
    <xf numFmtId="0" fontId="38" fillId="5" borderId="0" xfId="0" applyFont="1" applyFill="1" applyAlignment="1">
      <alignment horizontal="center" vertical="center" wrapText="1"/>
    </xf>
    <xf numFmtId="0" fontId="85" fillId="4" borderId="2" xfId="0" applyFont="1" applyFill="1" applyBorder="1" applyAlignment="1">
      <alignment vertical="center"/>
    </xf>
    <xf numFmtId="0" fontId="85" fillId="4" borderId="4" xfId="0" applyFont="1" applyFill="1" applyBorder="1" applyAlignment="1">
      <alignment vertical="center" wrapText="1"/>
    </xf>
    <xf numFmtId="179" fontId="38" fillId="0" borderId="0" xfId="0" applyNumberFormat="1" applyFont="1" applyAlignment="1">
      <alignment vertical="center" wrapText="1"/>
    </xf>
    <xf numFmtId="0" fontId="38" fillId="0" borderId="0" xfId="0" applyFont="1" applyFill="1" applyBorder="1" applyAlignment="1">
      <alignment horizontal="left" vertical="center" wrapText="1"/>
    </xf>
    <xf numFmtId="0" fontId="38" fillId="0" borderId="0" xfId="0" applyFont="1" applyFill="1" applyAlignment="1">
      <alignment horizontal="left" vertical="center" wrapText="1"/>
    </xf>
    <xf numFmtId="0" fontId="38" fillId="0" borderId="0" xfId="0" applyFont="1" applyFill="1" applyAlignment="1">
      <alignment horizontal="center" vertical="center" wrapText="1"/>
    </xf>
    <xf numFmtId="0" fontId="38" fillId="0" borderId="0" xfId="76" applyNumberFormat="1" applyFont="1" applyAlignment="1">
      <alignment horizontal="left" vertical="center" wrapText="1"/>
    </xf>
    <xf numFmtId="0" fontId="85" fillId="60" borderId="34" xfId="0" applyFont="1" applyFill="1" applyBorder="1" applyAlignment="1">
      <alignment horizontal="center" vertical="center" wrapText="1"/>
    </xf>
    <xf numFmtId="0" fontId="38" fillId="60" borderId="34" xfId="0" applyFont="1" applyFill="1" applyBorder="1" applyAlignment="1">
      <alignment horizontal="center" vertical="center" wrapText="1"/>
    </xf>
    <xf numFmtId="0" fontId="86" fillId="60" borderId="34" xfId="0" applyFont="1" applyFill="1" applyBorder="1" applyAlignment="1">
      <alignment horizontal="center" vertical="center" wrapText="1"/>
    </xf>
    <xf numFmtId="0" fontId="38" fillId="0" borderId="0" xfId="0" applyFont="1" applyBorder="1" applyAlignment="1">
      <alignment horizontal="left" vertical="center" wrapText="1"/>
    </xf>
    <xf numFmtId="181" fontId="38" fillId="0" borderId="0" xfId="0" applyNumberFormat="1" applyFont="1" applyBorder="1" applyAlignment="1">
      <alignment horizontal="right" vertical="center" wrapText="1"/>
    </xf>
    <xf numFmtId="0" fontId="84" fillId="0" borderId="0" xfId="0" applyFont="1" applyBorder="1" applyAlignment="1">
      <alignment horizontal="center" vertical="center" wrapText="1"/>
    </xf>
    <xf numFmtId="180" fontId="84" fillId="0" borderId="0" xfId="0" applyNumberFormat="1" applyFont="1" applyFill="1" applyBorder="1" applyAlignment="1">
      <alignment horizontal="right" vertical="center" wrapText="1"/>
    </xf>
    <xf numFmtId="0" fontId="38" fillId="0" borderId="0" xfId="0" applyFont="1" applyBorder="1" applyAlignment="1">
      <alignment horizontal="center" vertical="center" wrapText="1"/>
    </xf>
    <xf numFmtId="0" fontId="38" fillId="12" borderId="0" xfId="0" applyFont="1" applyFill="1" applyBorder="1" applyAlignment="1">
      <alignment horizontal="center" vertical="center" wrapText="1"/>
    </xf>
    <xf numFmtId="0" fontId="38" fillId="0" borderId="0" xfId="0" applyFont="1" applyFill="1" applyBorder="1" applyAlignment="1">
      <alignment horizontal="center" vertical="center" wrapText="1"/>
    </xf>
    <xf numFmtId="181" fontId="38" fillId="0" borderId="0" xfId="0" applyNumberFormat="1" applyFont="1" applyBorder="1" applyAlignment="1">
      <alignment horizontal="center" vertical="center" wrapText="1"/>
    </xf>
    <xf numFmtId="14" fontId="38" fillId="0" borderId="0" xfId="0" applyNumberFormat="1" applyFont="1" applyBorder="1" applyAlignment="1">
      <alignment horizontal="center" vertical="center" wrapText="1"/>
    </xf>
    <xf numFmtId="0" fontId="38" fillId="0" borderId="0" xfId="0" applyNumberFormat="1" applyFont="1" applyBorder="1" applyAlignment="1">
      <alignment horizontal="left" vertical="center" wrapText="1"/>
    </xf>
    <xf numFmtId="0" fontId="38" fillId="10" borderId="34" xfId="0" applyFont="1" applyFill="1" applyBorder="1" applyAlignment="1">
      <alignment vertical="center" wrapText="1"/>
    </xf>
    <xf numFmtId="179" fontId="38" fillId="10" borderId="34" xfId="0" applyNumberFormat="1" applyFont="1" applyFill="1" applyBorder="1" applyAlignment="1">
      <alignment vertical="center" wrapText="1"/>
    </xf>
    <xf numFmtId="0" fontId="38" fillId="0" borderId="34" xfId="0" applyFont="1" applyBorder="1" applyAlignment="1">
      <alignment horizontal="left" vertical="center" wrapText="1"/>
    </xf>
    <xf numFmtId="0" fontId="38" fillId="0" borderId="34" xfId="0" applyFont="1" applyBorder="1">
      <alignment vertical="center"/>
    </xf>
    <xf numFmtId="0" fontId="38" fillId="0" borderId="34" xfId="0" applyNumberFormat="1" applyFont="1" applyBorder="1">
      <alignment vertical="center"/>
    </xf>
    <xf numFmtId="0" fontId="38" fillId="0" borderId="34" xfId="0" applyNumberFormat="1" applyFont="1" applyBorder="1" applyAlignment="1">
      <alignment horizontal="left" vertical="center" wrapText="1"/>
    </xf>
    <xf numFmtId="181" fontId="38" fillId="0" borderId="34" xfId="0" applyNumberFormat="1" applyFont="1" applyBorder="1" applyAlignment="1">
      <alignment horizontal="right" vertical="center" wrapText="1"/>
    </xf>
    <xf numFmtId="180" fontId="38" fillId="0" borderId="34" xfId="0" applyNumberFormat="1" applyFont="1" applyBorder="1" applyAlignment="1">
      <alignment horizontal="right" vertical="center" wrapText="1"/>
    </xf>
    <xf numFmtId="0" fontId="38" fillId="0" borderId="34" xfId="0" applyFont="1" applyBorder="1" applyAlignment="1">
      <alignment horizontal="center" vertical="center" wrapText="1"/>
    </xf>
    <xf numFmtId="38" fontId="38" fillId="0" borderId="34" xfId="76" applyFont="1" applyBorder="1" applyAlignment="1">
      <alignment horizontal="left" vertical="center" wrapText="1"/>
    </xf>
    <xf numFmtId="178" fontId="38" fillId="0" borderId="34" xfId="0" applyNumberFormat="1" applyFont="1" applyBorder="1" applyAlignment="1">
      <alignment horizontal="left" vertical="center" wrapText="1"/>
    </xf>
    <xf numFmtId="181" fontId="38" fillId="0" borderId="34" xfId="0" applyNumberFormat="1" applyFont="1" applyBorder="1" applyAlignment="1">
      <alignment horizontal="center" vertical="center" wrapText="1"/>
    </xf>
    <xf numFmtId="14" fontId="38" fillId="0" borderId="34" xfId="0" applyNumberFormat="1" applyFont="1" applyBorder="1" applyAlignment="1">
      <alignment horizontal="center" vertical="center" wrapText="1"/>
    </xf>
    <xf numFmtId="178" fontId="38" fillId="0" borderId="0" xfId="0" applyNumberFormat="1" applyFont="1" applyAlignment="1">
      <alignment horizontal="left" vertical="center" wrapText="1"/>
    </xf>
    <xf numFmtId="0" fontId="38" fillId="50" borderId="0" xfId="0" applyFont="1" applyFill="1" applyBorder="1" applyAlignment="1">
      <alignment horizontal="center" vertical="center" wrapText="1"/>
    </xf>
    <xf numFmtId="38" fontId="38" fillId="50" borderId="0" xfId="76" applyFont="1" applyFill="1" applyBorder="1" applyAlignment="1">
      <alignment horizontal="left" vertical="center" wrapText="1"/>
    </xf>
    <xf numFmtId="0" fontId="38" fillId="50" borderId="0" xfId="0" applyFont="1" applyFill="1" applyBorder="1" applyAlignment="1">
      <alignment horizontal="left" vertical="center" wrapText="1"/>
    </xf>
    <xf numFmtId="0" fontId="87" fillId="0" borderId="0" xfId="0" applyFont="1" applyAlignment="1">
      <alignment horizontal="center" vertical="center" wrapText="1"/>
    </xf>
    <xf numFmtId="0" fontId="0" fillId="0" borderId="64" xfId="0" applyBorder="1">
      <alignment vertical="center"/>
    </xf>
    <xf numFmtId="9" fontId="0" fillId="0" borderId="64" xfId="276" applyFont="1" applyBorder="1">
      <alignment vertical="center"/>
    </xf>
    <xf numFmtId="0" fontId="23" fillId="11" borderId="64" xfId="0" applyFont="1" applyFill="1" applyBorder="1" applyAlignment="1">
      <alignment horizontal="center" vertical="center"/>
    </xf>
    <xf numFmtId="0" fontId="23" fillId="61" borderId="64" xfId="0" applyFont="1" applyFill="1" applyBorder="1" applyAlignment="1">
      <alignment horizontal="center" vertical="center"/>
    </xf>
    <xf numFmtId="9" fontId="0" fillId="0" borderId="64" xfId="276" applyNumberFormat="1" applyFont="1" applyBorder="1">
      <alignment vertical="center"/>
    </xf>
    <xf numFmtId="9" fontId="0" fillId="0" borderId="64" xfId="0" applyNumberFormat="1" applyBorder="1">
      <alignment vertical="center"/>
    </xf>
    <xf numFmtId="0" fontId="23" fillId="4" borderId="64" xfId="0" applyFont="1" applyFill="1" applyBorder="1" applyAlignment="1">
      <alignment horizontal="center" vertical="center"/>
    </xf>
    <xf numFmtId="0" fontId="23" fillId="0" borderId="64" xfId="0" applyFont="1" applyFill="1" applyBorder="1" applyAlignment="1">
      <alignment horizontal="center" vertical="center"/>
    </xf>
    <xf numFmtId="0" fontId="23" fillId="9" borderId="64" xfId="0" applyFont="1" applyFill="1" applyBorder="1" applyAlignment="1">
      <alignment horizontal="center" vertical="center"/>
    </xf>
    <xf numFmtId="0" fontId="23" fillId="64" borderId="64" xfId="0" applyFont="1" applyFill="1" applyBorder="1" applyAlignment="1">
      <alignment horizontal="center" vertical="center"/>
    </xf>
    <xf numFmtId="0" fontId="23" fillId="5" borderId="64" xfId="0" applyFont="1" applyFill="1" applyBorder="1" applyAlignment="1">
      <alignment horizontal="center" vertical="center"/>
    </xf>
    <xf numFmtId="0" fontId="24" fillId="0" borderId="64" xfId="0" applyFont="1" applyFill="1" applyBorder="1" applyAlignment="1">
      <alignment horizontal="center" vertical="center"/>
    </xf>
    <xf numFmtId="0" fontId="43" fillId="0" borderId="55" xfId="0" applyFont="1" applyBorder="1" applyAlignment="1">
      <alignment horizontal="lef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3" fillId="2" borderId="4" xfId="0" applyFont="1" applyFill="1" applyBorder="1" applyAlignment="1">
      <alignment horizontal="center" vertical="center"/>
    </xf>
    <xf numFmtId="182" fontId="0" fillId="4" borderId="2" xfId="0" applyNumberFormat="1" applyFill="1" applyBorder="1" applyAlignment="1">
      <alignment horizontal="center" vertical="center"/>
    </xf>
    <xf numFmtId="182" fontId="0" fillId="4" borderId="4" xfId="0" applyNumberFormat="1" applyFill="1" applyBorder="1" applyAlignment="1">
      <alignment horizontal="center" vertical="center"/>
    </xf>
    <xf numFmtId="0" fontId="71" fillId="2" borderId="2" xfId="80" applyNumberFormat="1" applyFont="1" applyFill="1" applyBorder="1" applyAlignment="1">
      <alignment horizontal="center" vertical="center"/>
    </xf>
    <xf numFmtId="0" fontId="71" fillId="2" borderId="4" xfId="80" applyNumberFormat="1" applyFont="1" applyFill="1" applyBorder="1" applyAlignment="1">
      <alignment horizontal="center" vertical="center"/>
    </xf>
    <xf numFmtId="0" fontId="0" fillId="0" borderId="55" xfId="0" applyBorder="1" applyAlignment="1">
      <alignment horizontal="center" vertical="center"/>
    </xf>
    <xf numFmtId="0" fontId="23" fillId="0" borderId="2" xfId="0" applyFont="1" applyFill="1" applyBorder="1" applyAlignment="1">
      <alignment horizontal="center" vertical="center"/>
    </xf>
    <xf numFmtId="0" fontId="23" fillId="0" borderId="3" xfId="0" applyFont="1" applyFill="1" applyBorder="1" applyAlignment="1">
      <alignment horizontal="center" vertical="center"/>
    </xf>
    <xf numFmtId="0" fontId="23" fillId="0" borderId="4" xfId="0" applyFont="1" applyFill="1" applyBorder="1" applyAlignment="1">
      <alignment horizontal="center" vertical="center"/>
    </xf>
    <xf numFmtId="0" fontId="23" fillId="61" borderId="2" xfId="0" applyFont="1" applyFill="1" applyBorder="1" applyAlignment="1">
      <alignment horizontal="center" vertical="center"/>
    </xf>
    <xf numFmtId="0" fontId="23" fillId="61" borderId="4" xfId="0" applyFont="1" applyFill="1" applyBorder="1" applyAlignment="1">
      <alignment horizontal="center" vertical="center"/>
    </xf>
    <xf numFmtId="0" fontId="23" fillId="11" borderId="2" xfId="0" applyFont="1" applyFill="1" applyBorder="1" applyAlignment="1">
      <alignment horizontal="center" vertical="center"/>
    </xf>
    <xf numFmtId="0" fontId="23" fillId="11" borderId="4" xfId="0" applyFont="1" applyFill="1" applyBorder="1" applyAlignment="1">
      <alignment horizontal="center" vertical="center"/>
    </xf>
    <xf numFmtId="0" fontId="71" fillId="0" borderId="3" xfId="80" applyNumberFormat="1" applyFont="1" applyFill="1" applyBorder="1" applyAlignment="1">
      <alignment horizontal="center" vertical="center"/>
    </xf>
    <xf numFmtId="0" fontId="24" fillId="0" borderId="92" xfId="80" applyFont="1" applyBorder="1" applyAlignment="1">
      <alignment horizontal="center" vertical="center"/>
    </xf>
    <xf numFmtId="0" fontId="24" fillId="0" borderId="38" xfId="80" applyFont="1" applyBorder="1" applyAlignment="1">
      <alignment horizontal="center" vertical="center"/>
    </xf>
    <xf numFmtId="0" fontId="24" fillId="0" borderId="93" xfId="80" applyFont="1" applyBorder="1" applyAlignment="1">
      <alignment horizontal="center" vertical="center"/>
    </xf>
    <xf numFmtId="0" fontId="24" fillId="0" borderId="94" xfId="80" applyFont="1" applyBorder="1" applyAlignment="1">
      <alignment horizontal="center" vertical="center"/>
    </xf>
    <xf numFmtId="0" fontId="24" fillId="0" borderId="0" xfId="80" applyFont="1" applyBorder="1" applyAlignment="1">
      <alignment horizontal="center" vertical="center"/>
    </xf>
    <xf numFmtId="0" fontId="24" fillId="0" borderId="95" xfId="80" applyFont="1" applyBorder="1" applyAlignment="1">
      <alignment horizontal="center" vertical="center"/>
    </xf>
    <xf numFmtId="0" fontId="24" fillId="0" borderId="42" xfId="80" applyFont="1" applyBorder="1" applyAlignment="1">
      <alignment horizontal="center" vertical="center"/>
    </xf>
    <xf numFmtId="0" fontId="24" fillId="0" borderId="55" xfId="80" applyFont="1" applyBorder="1" applyAlignment="1">
      <alignment horizontal="center" vertical="center"/>
    </xf>
    <xf numFmtId="0" fontId="24" fillId="0" borderId="43" xfId="80" applyFont="1" applyBorder="1" applyAlignment="1">
      <alignment horizontal="center" vertical="center"/>
    </xf>
    <xf numFmtId="0" fontId="71" fillId="2" borderId="5" xfId="137" applyFont="1" applyFill="1" applyBorder="1" applyAlignment="1">
      <alignment horizontal="center" vertical="center"/>
    </xf>
    <xf numFmtId="0" fontId="71" fillId="2" borderId="44" xfId="137" applyFont="1" applyFill="1" applyBorder="1" applyAlignment="1">
      <alignment horizontal="center" vertical="center"/>
    </xf>
    <xf numFmtId="38" fontId="71" fillId="0" borderId="5" xfId="138" applyFont="1" applyBorder="1" applyAlignment="1">
      <alignment horizontal="center" vertical="center"/>
    </xf>
    <xf numFmtId="38" fontId="71" fillId="0" borderId="44" xfId="138" applyFont="1" applyBorder="1" applyAlignment="1">
      <alignment horizontal="center" vertical="center"/>
    </xf>
    <xf numFmtId="181" fontId="40" fillId="0" borderId="35" xfId="0" applyNumberFormat="1" applyFont="1" applyFill="1" applyBorder="1" applyAlignment="1">
      <alignment horizontal="left" vertical="center" wrapText="1"/>
    </xf>
    <xf numFmtId="181" fontId="40" fillId="0" borderId="36" xfId="0" applyNumberFormat="1" applyFont="1" applyFill="1" applyBorder="1" applyAlignment="1">
      <alignment horizontal="left" vertical="center" wrapText="1"/>
    </xf>
    <xf numFmtId="181" fontId="40" fillId="0" borderId="37" xfId="0" applyNumberFormat="1" applyFont="1" applyFill="1" applyBorder="1" applyAlignment="1">
      <alignment horizontal="left" vertical="center" wrapText="1"/>
    </xf>
    <xf numFmtId="0" fontId="43" fillId="4" borderId="35" xfId="0" applyFont="1" applyFill="1" applyBorder="1" applyAlignment="1">
      <alignment horizontal="center" vertical="center"/>
    </xf>
    <xf numFmtId="0" fontId="43" fillId="4" borderId="36" xfId="0" applyFont="1" applyFill="1" applyBorder="1" applyAlignment="1">
      <alignment horizontal="center" vertical="center"/>
    </xf>
    <xf numFmtId="0" fontId="43" fillId="4" borderId="37" xfId="0" applyFont="1" applyFill="1" applyBorder="1" applyAlignment="1">
      <alignment horizontal="center" vertical="center"/>
    </xf>
    <xf numFmtId="0" fontId="40" fillId="46" borderId="80" xfId="0" applyFont="1" applyFill="1" applyBorder="1" applyAlignment="1">
      <alignment horizontal="left" vertical="center" wrapText="1"/>
    </xf>
    <xf numFmtId="0" fontId="40" fillId="46" borderId="81" xfId="0" applyFont="1" applyFill="1" applyBorder="1" applyAlignment="1">
      <alignment horizontal="left" vertical="center" wrapText="1"/>
    </xf>
    <xf numFmtId="0" fontId="74" fillId="8" borderId="35" xfId="0" applyFont="1" applyFill="1" applyBorder="1" applyAlignment="1">
      <alignment horizontal="center" vertical="center"/>
    </xf>
    <xf numFmtId="0" fontId="74" fillId="8" borderId="37" xfId="0" applyFont="1" applyFill="1" applyBorder="1" applyAlignment="1">
      <alignment horizontal="center" vertical="center"/>
    </xf>
    <xf numFmtId="0" fontId="44" fillId="8" borderId="34" xfId="0" applyFont="1" applyFill="1" applyBorder="1" applyAlignment="1">
      <alignment horizontal="center" vertical="center"/>
    </xf>
    <xf numFmtId="0" fontId="42" fillId="4" borderId="35" xfId="0" applyFont="1" applyFill="1" applyBorder="1" applyAlignment="1">
      <alignment horizontal="center" vertical="center"/>
    </xf>
    <xf numFmtId="0" fontId="42" fillId="4" borderId="37" xfId="0" applyFont="1" applyFill="1" applyBorder="1" applyAlignment="1">
      <alignment horizontal="center" vertical="center"/>
    </xf>
    <xf numFmtId="0" fontId="40" fillId="46" borderId="35" xfId="0" applyFont="1" applyFill="1" applyBorder="1" applyAlignment="1">
      <alignment horizontal="left" vertical="center" wrapText="1"/>
    </xf>
    <xf numFmtId="0" fontId="40" fillId="46" borderId="37" xfId="0" applyFont="1" applyFill="1" applyBorder="1" applyAlignment="1">
      <alignment horizontal="left" vertical="center" wrapText="1"/>
    </xf>
    <xf numFmtId="0" fontId="43" fillId="4" borderId="34" xfId="0" applyFont="1" applyFill="1" applyBorder="1" applyAlignment="1">
      <alignment horizontal="center" vertical="center"/>
    </xf>
    <xf numFmtId="0" fontId="40" fillId="8" borderId="34" xfId="0" applyFont="1" applyFill="1" applyBorder="1" applyAlignment="1">
      <alignment horizontal="left" vertical="center" wrapText="1"/>
    </xf>
    <xf numFmtId="0" fontId="40" fillId="4" borderId="34" xfId="0" applyFont="1" applyFill="1" applyBorder="1" applyAlignment="1">
      <alignment horizontal="center" vertical="center"/>
    </xf>
    <xf numFmtId="0" fontId="40" fillId="0" borderId="0" xfId="0" applyFont="1" applyAlignment="1">
      <alignment horizontal="center" vertical="center"/>
    </xf>
    <xf numFmtId="0" fontId="67" fillId="4" borderId="35" xfId="0" applyFont="1" applyFill="1" applyBorder="1" applyAlignment="1">
      <alignment horizontal="left"/>
    </xf>
    <xf numFmtId="0" fontId="67" fillId="4" borderId="36" xfId="0" applyFont="1" applyFill="1" applyBorder="1" applyAlignment="1">
      <alignment horizontal="left"/>
    </xf>
    <xf numFmtId="0" fontId="78" fillId="0" borderId="34" xfId="0" applyFont="1" applyBorder="1" applyAlignment="1">
      <alignment horizontal="center" vertical="center"/>
    </xf>
    <xf numFmtId="0" fontId="78" fillId="0" borderId="34" xfId="143" applyFont="1" applyBorder="1" applyAlignment="1">
      <alignment horizontal="center" vertical="center" wrapText="1"/>
    </xf>
    <xf numFmtId="0" fontId="77" fillId="0" borderId="35" xfId="143" applyFont="1" applyBorder="1" applyAlignment="1">
      <alignment horizontal="center" vertical="center" wrapText="1"/>
    </xf>
    <xf numFmtId="0" fontId="77" fillId="0" borderId="36" xfId="143" applyFont="1" applyBorder="1" applyAlignment="1">
      <alignment horizontal="center" vertical="center" wrapText="1"/>
    </xf>
    <xf numFmtId="0" fontId="77" fillId="0" borderId="37" xfId="143" applyFont="1" applyBorder="1" applyAlignment="1">
      <alignment horizontal="center" vertical="center" wrapText="1"/>
    </xf>
    <xf numFmtId="0" fontId="43" fillId="4" borderId="39" xfId="0" applyFont="1" applyFill="1" applyBorder="1" applyAlignment="1">
      <alignment horizontal="center" vertical="center"/>
    </xf>
    <xf numFmtId="0" fontId="40" fillId="10" borderId="84" xfId="0" applyFont="1" applyFill="1" applyBorder="1" applyAlignment="1">
      <alignment horizontal="left" vertical="center" wrapText="1"/>
    </xf>
    <xf numFmtId="0" fontId="40" fillId="10" borderId="86" xfId="0" applyFont="1" applyFill="1" applyBorder="1" applyAlignment="1">
      <alignment horizontal="left" vertical="center" wrapText="1"/>
    </xf>
    <xf numFmtId="0" fontId="42" fillId="4" borderId="74" xfId="0" applyFont="1" applyFill="1" applyBorder="1" applyAlignment="1">
      <alignment horizontal="center" vertical="center"/>
    </xf>
    <xf numFmtId="0" fontId="42" fillId="4" borderId="90" xfId="0" applyFont="1" applyFill="1" applyBorder="1" applyAlignment="1">
      <alignment horizontal="center" vertical="center"/>
    </xf>
    <xf numFmtId="0" fontId="42" fillId="4" borderId="96" xfId="0" applyFont="1" applyFill="1" applyBorder="1" applyAlignment="1">
      <alignment horizontal="center" vertical="center"/>
    </xf>
    <xf numFmtId="0" fontId="40" fillId="10" borderId="80" xfId="0" applyFont="1" applyFill="1" applyBorder="1" applyAlignment="1">
      <alignment horizontal="left" vertical="center" wrapText="1"/>
    </xf>
    <xf numFmtId="0" fontId="40" fillId="10" borderId="97" xfId="0" applyFont="1" applyFill="1" applyBorder="1" applyAlignment="1">
      <alignment horizontal="left" vertical="center" wrapText="1"/>
    </xf>
    <xf numFmtId="0" fontId="40" fillId="10" borderId="98" xfId="0" applyFont="1" applyFill="1" applyBorder="1" applyAlignment="1">
      <alignment horizontal="left" vertical="center" wrapText="1"/>
    </xf>
    <xf numFmtId="0" fontId="42" fillId="4" borderId="75" xfId="0" applyFont="1" applyFill="1" applyBorder="1" applyAlignment="1">
      <alignment horizontal="center" vertical="center"/>
    </xf>
    <xf numFmtId="0" fontId="42" fillId="4" borderId="79" xfId="0" applyFont="1" applyFill="1" applyBorder="1" applyAlignment="1">
      <alignment horizontal="center" vertical="center"/>
    </xf>
    <xf numFmtId="0" fontId="42" fillId="4" borderId="34" xfId="0" applyFont="1" applyFill="1" applyBorder="1" applyAlignment="1">
      <alignment horizontal="center" vertical="center"/>
    </xf>
    <xf numFmtId="0" fontId="48" fillId="5" borderId="35" xfId="0" applyFont="1" applyFill="1" applyBorder="1" applyAlignment="1">
      <alignment horizontal="right" vertical="center"/>
    </xf>
    <xf numFmtId="0" fontId="48" fillId="5" borderId="36" xfId="0" applyFont="1" applyFill="1" applyBorder="1" applyAlignment="1">
      <alignment horizontal="right" vertical="center"/>
    </xf>
    <xf numFmtId="0" fontId="48" fillId="5" borderId="68" xfId="0" applyFont="1" applyFill="1" applyBorder="1" applyAlignment="1">
      <alignment horizontal="right" vertical="center"/>
    </xf>
    <xf numFmtId="0" fontId="40" fillId="10" borderId="87" xfId="0" applyNumberFormat="1" applyFont="1" applyFill="1" applyBorder="1" applyAlignment="1">
      <alignment horizontal="left" vertical="center" wrapText="1"/>
    </xf>
    <xf numFmtId="0" fontId="40" fillId="10" borderId="85" xfId="0" applyNumberFormat="1" applyFont="1" applyFill="1" applyBorder="1" applyAlignment="1">
      <alignment horizontal="left" vertical="center" wrapText="1"/>
    </xf>
    <xf numFmtId="0" fontId="40" fillId="10" borderId="88" xfId="0" applyNumberFormat="1" applyFont="1" applyFill="1" applyBorder="1" applyAlignment="1">
      <alignment horizontal="left" vertical="center" wrapText="1"/>
    </xf>
    <xf numFmtId="0" fontId="40" fillId="10" borderId="71" xfId="0" applyNumberFormat="1" applyFont="1" applyFill="1" applyBorder="1" applyAlignment="1">
      <alignment horizontal="left" vertical="center" wrapText="1"/>
    </xf>
    <xf numFmtId="0" fontId="40" fillId="10" borderId="36" xfId="0" applyNumberFormat="1" applyFont="1" applyFill="1" applyBorder="1" applyAlignment="1">
      <alignment horizontal="left" vertical="center" wrapText="1"/>
    </xf>
    <xf numFmtId="0" fontId="40" fillId="10" borderId="72" xfId="0" applyNumberFormat="1" applyFont="1" applyFill="1" applyBorder="1" applyAlignment="1">
      <alignment horizontal="left" vertical="center" wrapText="1"/>
    </xf>
    <xf numFmtId="0" fontId="40" fillId="10" borderId="85" xfId="0" applyFont="1" applyFill="1" applyBorder="1" applyAlignment="1">
      <alignment horizontal="left" vertical="center" wrapText="1"/>
    </xf>
    <xf numFmtId="0" fontId="40" fillId="10" borderId="84" xfId="0" applyFont="1" applyFill="1" applyBorder="1" applyAlignment="1">
      <alignment horizontal="left" vertical="center" wrapText="1" indent="1"/>
    </xf>
    <xf numFmtId="0" fontId="40" fillId="10" borderId="85" xfId="0" applyFont="1" applyFill="1" applyBorder="1" applyAlignment="1">
      <alignment horizontal="left" vertical="center" wrapText="1" indent="1"/>
    </xf>
    <xf numFmtId="0" fontId="40" fillId="10" borderId="86" xfId="0" applyFont="1" applyFill="1" applyBorder="1" applyAlignment="1">
      <alignment horizontal="left" vertical="center" wrapText="1" indent="1"/>
    </xf>
    <xf numFmtId="0" fontId="42" fillId="4" borderId="39" xfId="0" applyFont="1" applyFill="1" applyBorder="1" applyAlignment="1">
      <alignment horizontal="center" vertical="center"/>
    </xf>
    <xf numFmtId="14" fontId="40" fillId="10" borderId="67" xfId="0" applyNumberFormat="1" applyFont="1" applyFill="1" applyBorder="1" applyAlignment="1">
      <alignment horizontal="left" vertical="center" wrapText="1"/>
    </xf>
    <xf numFmtId="0" fontId="40" fillId="10" borderId="68" xfId="0" applyNumberFormat="1" applyFont="1" applyFill="1" applyBorder="1" applyAlignment="1">
      <alignment horizontal="left" vertical="center" wrapText="1"/>
    </xf>
    <xf numFmtId="0" fontId="42" fillId="4" borderId="36" xfId="0" applyFont="1" applyFill="1" applyBorder="1" applyAlignment="1">
      <alignment horizontal="center" vertical="center"/>
    </xf>
    <xf numFmtId="0" fontId="40" fillId="46" borderId="36" xfId="0" applyFont="1" applyFill="1" applyBorder="1" applyAlignment="1">
      <alignment horizontal="left" vertical="center" wrapText="1"/>
    </xf>
    <xf numFmtId="0" fontId="0" fillId="0" borderId="41" xfId="0" applyBorder="1" applyAlignment="1">
      <alignment horizontal="center" vertical="center"/>
    </xf>
    <xf numFmtId="0" fontId="0" fillId="0" borderId="39" xfId="0" applyBorder="1" applyAlignment="1">
      <alignment horizontal="left" vertical="center" wrapText="1"/>
    </xf>
    <xf numFmtId="0" fontId="0" fillId="0" borderId="41" xfId="0" applyBorder="1" applyAlignment="1">
      <alignment horizontal="left" vertical="center" wrapText="1"/>
    </xf>
    <xf numFmtId="0" fontId="0" fillId="0" borderId="40" xfId="0" applyBorder="1" applyAlignment="1">
      <alignment horizontal="left" vertical="center" wrapText="1"/>
    </xf>
    <xf numFmtId="0" fontId="24" fillId="0" borderId="54" xfId="139" applyFont="1" applyBorder="1">
      <alignment vertical="center"/>
    </xf>
    <xf numFmtId="0" fontId="24" fillId="0" borderId="54" xfId="139" applyFont="1" applyBorder="1" applyAlignment="1">
      <alignment vertical="center"/>
    </xf>
    <xf numFmtId="0" fontId="24" fillId="2" borderId="5" xfId="139" applyFont="1" applyFill="1" applyBorder="1" applyAlignment="1">
      <alignment horizontal="center" vertical="center"/>
    </xf>
    <xf numFmtId="0" fontId="24" fillId="2" borderId="54" xfId="139" applyFont="1" applyFill="1" applyBorder="1" applyAlignment="1">
      <alignment horizontal="center" vertical="center"/>
    </xf>
    <xf numFmtId="0" fontId="24" fillId="4" borderId="54" xfId="139" applyFont="1" applyFill="1" applyBorder="1" applyAlignment="1">
      <alignment horizontal="center" vertical="center"/>
    </xf>
    <xf numFmtId="0" fontId="31" fillId="0" borderId="25" xfId="1" applyFont="1" applyBorder="1" applyAlignment="1">
      <alignment horizontal="left" vertical="center" wrapText="1"/>
    </xf>
    <xf numFmtId="0" fontId="31" fillId="0" borderId="32" xfId="1" applyFont="1" applyBorder="1" applyAlignment="1">
      <alignment horizontal="left" vertical="center" wrapText="1"/>
    </xf>
    <xf numFmtId="0" fontId="31" fillId="0" borderId="33" xfId="1" applyFont="1" applyBorder="1" applyAlignment="1">
      <alignment horizontal="left" vertical="center" wrapText="1"/>
    </xf>
    <xf numFmtId="0" fontId="28" fillId="0" borderId="14" xfId="1" applyFont="1" applyFill="1" applyBorder="1" applyAlignment="1">
      <alignment horizontal="center" vertical="center"/>
    </xf>
    <xf numFmtId="0" fontId="28" fillId="0" borderId="15" xfId="1" applyFont="1" applyFill="1" applyBorder="1" applyAlignment="1">
      <alignment horizontal="center" vertical="center"/>
    </xf>
    <xf numFmtId="0" fontId="35" fillId="0" borderId="15" xfId="1" applyFont="1" applyBorder="1" applyAlignment="1">
      <alignment horizontal="center" vertical="center"/>
    </xf>
    <xf numFmtId="0" fontId="35" fillId="0" borderId="16" xfId="1" applyFont="1" applyBorder="1" applyAlignment="1">
      <alignment horizontal="center" vertical="center"/>
    </xf>
    <xf numFmtId="0" fontId="31" fillId="0" borderId="23" xfId="1" applyFont="1" applyBorder="1" applyAlignment="1">
      <alignment horizontal="left" vertical="center" wrapText="1"/>
    </xf>
    <xf numFmtId="0" fontId="31" fillId="0" borderId="3" xfId="1" applyFont="1" applyBorder="1" applyAlignment="1">
      <alignment horizontal="left" vertical="center" wrapText="1"/>
    </xf>
    <xf numFmtId="0" fontId="31" fillId="0" borderId="30" xfId="1" applyFont="1" applyBorder="1" applyAlignment="1">
      <alignment horizontal="left" vertical="center" wrapText="1"/>
    </xf>
    <xf numFmtId="0" fontId="28" fillId="0" borderId="20" xfId="1" applyFont="1" applyFill="1" applyBorder="1" applyAlignment="1">
      <alignment horizontal="center" vertical="center"/>
    </xf>
    <xf numFmtId="0" fontId="28" fillId="0" borderId="1" xfId="1" applyFont="1" applyFill="1" applyBorder="1" applyAlignment="1">
      <alignment horizontal="center" vertical="center"/>
    </xf>
    <xf numFmtId="0" fontId="35" fillId="0" borderId="1" xfId="1" applyFont="1" applyBorder="1" applyAlignment="1">
      <alignment horizontal="center" vertical="center"/>
    </xf>
    <xf numFmtId="0" fontId="35" fillId="0" borderId="21" xfId="1" applyFont="1" applyBorder="1" applyAlignment="1">
      <alignment horizontal="center" vertical="center"/>
    </xf>
    <xf numFmtId="0" fontId="33" fillId="2" borderId="26" xfId="1" applyFont="1" applyFill="1" applyBorder="1" applyAlignment="1">
      <alignment horizontal="center" vertical="center"/>
    </xf>
    <xf numFmtId="0" fontId="33" fillId="2" borderId="27" xfId="1" applyFont="1" applyFill="1" applyBorder="1" applyAlignment="1">
      <alignment horizontal="center" vertical="center"/>
    </xf>
    <xf numFmtId="0" fontId="33" fillId="2" borderId="28" xfId="1" applyFont="1" applyFill="1" applyBorder="1" applyAlignment="1">
      <alignment horizontal="center" vertical="center"/>
    </xf>
    <xf numFmtId="0" fontId="28" fillId="9" borderId="8" xfId="1" applyFont="1" applyFill="1" applyBorder="1" applyAlignment="1">
      <alignment horizontal="center" vertical="center"/>
    </xf>
    <xf numFmtId="0" fontId="28" fillId="9" borderId="9" xfId="1" applyFont="1" applyFill="1" applyBorder="1" applyAlignment="1">
      <alignment horizontal="center" vertical="center"/>
    </xf>
    <xf numFmtId="0" fontId="28" fillId="9" borderId="10" xfId="1" applyFont="1" applyFill="1" applyBorder="1" applyAlignment="1">
      <alignment horizontal="center" vertical="center"/>
    </xf>
    <xf numFmtId="0" fontId="34" fillId="0" borderId="1" xfId="1" applyFont="1" applyBorder="1" applyAlignment="1">
      <alignment horizontal="center" vertical="center" wrapText="1"/>
    </xf>
    <xf numFmtId="0" fontId="28" fillId="0" borderId="0" xfId="1" applyFont="1" applyAlignment="1">
      <alignment horizontal="center" vertical="center"/>
    </xf>
    <xf numFmtId="0" fontId="28" fillId="0" borderId="0" xfId="1" applyFont="1" applyAlignment="1">
      <alignment horizontal="center" vertical="center" wrapText="1"/>
    </xf>
    <xf numFmtId="0" fontId="28" fillId="0" borderId="6" xfId="1" applyFont="1" applyBorder="1" applyAlignment="1">
      <alignment horizontal="center" vertical="center" wrapText="1"/>
    </xf>
    <xf numFmtId="0" fontId="25" fillId="4" borderId="7" xfId="1" applyFont="1" applyFill="1" applyBorder="1" applyAlignment="1">
      <alignment horizontal="center" vertical="center"/>
    </xf>
    <xf numFmtId="0" fontId="25" fillId="4" borderId="13" xfId="1" applyFont="1" applyFill="1" applyBorder="1" applyAlignment="1">
      <alignment horizontal="center" vertical="center"/>
    </xf>
    <xf numFmtId="0" fontId="30" fillId="4" borderId="8" xfId="1" applyFont="1" applyFill="1" applyBorder="1" applyAlignment="1">
      <alignment horizontal="center" vertical="center" wrapText="1"/>
    </xf>
    <xf numFmtId="0" fontId="30" fillId="4" borderId="9" xfId="1" applyFont="1" applyFill="1" applyBorder="1" applyAlignment="1">
      <alignment horizontal="center" vertical="center" wrapText="1"/>
    </xf>
    <xf numFmtId="0" fontId="30" fillId="4" borderId="10" xfId="1" applyFont="1" applyFill="1" applyBorder="1" applyAlignment="1">
      <alignment horizontal="center" vertical="center" wrapText="1"/>
    </xf>
    <xf numFmtId="0" fontId="29" fillId="4" borderId="11" xfId="1" applyFont="1" applyFill="1" applyBorder="1" applyAlignment="1">
      <alignment horizontal="center" vertical="center" wrapText="1"/>
    </xf>
    <xf numFmtId="0" fontId="29" fillId="4" borderId="12" xfId="1" applyFont="1" applyFill="1" applyBorder="1" applyAlignment="1">
      <alignment horizontal="center" vertical="center" wrapText="1"/>
    </xf>
    <xf numFmtId="0" fontId="29" fillId="4" borderId="17" xfId="1" applyFont="1" applyFill="1" applyBorder="1" applyAlignment="1">
      <alignment horizontal="center" vertical="center" wrapText="1"/>
    </xf>
    <xf numFmtId="0" fontId="29" fillId="4" borderId="18" xfId="1" applyFont="1" applyFill="1" applyBorder="1" applyAlignment="1">
      <alignment horizontal="center" vertical="center" wrapText="1"/>
    </xf>
  </cellXfs>
  <cellStyles count="277">
    <cellStyle name="20% - アクセント 1" xfId="51" builtinId="30" customBuiltin="1"/>
    <cellStyle name="20% - アクセント 1 2" xfId="113" xr:uid="{00000000-0005-0000-0000-000056000000}"/>
    <cellStyle name="20% - アクセント 1 2 2" xfId="239" xr:uid="{00000000-0005-0000-0000-000056000000}"/>
    <cellStyle name="20% - アクセント 1 3" xfId="183" xr:uid="{00000000-0005-0000-0000-00009D000000}"/>
    <cellStyle name="20% - アクセント 2" xfId="55" builtinId="34" customBuiltin="1"/>
    <cellStyle name="20% - アクセント 2 2" xfId="116" xr:uid="{00000000-0005-0000-0000-000057000000}"/>
    <cellStyle name="20% - アクセント 2 2 2" xfId="242" xr:uid="{00000000-0005-0000-0000-000057000000}"/>
    <cellStyle name="20% - アクセント 2 3" xfId="186" xr:uid="{00000000-0005-0000-0000-00009F000000}"/>
    <cellStyle name="20% - アクセント 3" xfId="59" builtinId="38" customBuiltin="1"/>
    <cellStyle name="20% - アクセント 3 2" xfId="119" xr:uid="{00000000-0005-0000-0000-000058000000}"/>
    <cellStyle name="20% - アクセント 3 2 2" xfId="245" xr:uid="{00000000-0005-0000-0000-000058000000}"/>
    <cellStyle name="20% - アクセント 3 3" xfId="189" xr:uid="{00000000-0005-0000-0000-0000A1000000}"/>
    <cellStyle name="20% - アクセント 4" xfId="63" builtinId="42" customBuiltin="1"/>
    <cellStyle name="20% - アクセント 4 2" xfId="122" xr:uid="{00000000-0005-0000-0000-000059000000}"/>
    <cellStyle name="20% - アクセント 4 2 2" xfId="248" xr:uid="{00000000-0005-0000-0000-000059000000}"/>
    <cellStyle name="20% - アクセント 4 3" xfId="192" xr:uid="{00000000-0005-0000-0000-0000A3000000}"/>
    <cellStyle name="20% - アクセント 5" xfId="67" builtinId="46" customBuiltin="1"/>
    <cellStyle name="20% - アクセント 5 2" xfId="125" xr:uid="{00000000-0005-0000-0000-00005A000000}"/>
    <cellStyle name="20% - アクセント 5 2 2" xfId="251" xr:uid="{00000000-0005-0000-0000-00005A000000}"/>
    <cellStyle name="20% - アクセント 5 3" xfId="195" xr:uid="{00000000-0005-0000-0000-0000A5000000}"/>
    <cellStyle name="20% - アクセント 6" xfId="71" builtinId="50" customBuiltin="1"/>
    <cellStyle name="20% - アクセント 6 2" xfId="128" xr:uid="{00000000-0005-0000-0000-00005B000000}"/>
    <cellStyle name="20% - アクセント 6 2 2" xfId="254" xr:uid="{00000000-0005-0000-0000-00005B000000}"/>
    <cellStyle name="20% - アクセント 6 3" xfId="198" xr:uid="{00000000-0005-0000-0000-0000A7000000}"/>
    <cellStyle name="40% - アクセント 1" xfId="52" builtinId="31" customBuiltin="1"/>
    <cellStyle name="40% - アクセント 1 2" xfId="114" xr:uid="{00000000-0005-0000-0000-00005C000000}"/>
    <cellStyle name="40% - アクセント 1 2 2" xfId="240" xr:uid="{00000000-0005-0000-0000-00005C000000}"/>
    <cellStyle name="40% - アクセント 1 3" xfId="184" xr:uid="{00000000-0005-0000-0000-0000A9000000}"/>
    <cellStyle name="40% - アクセント 2" xfId="56" builtinId="35" customBuiltin="1"/>
    <cellStyle name="40% - アクセント 2 2" xfId="117" xr:uid="{00000000-0005-0000-0000-00005D000000}"/>
    <cellStyle name="40% - アクセント 2 2 2" xfId="243" xr:uid="{00000000-0005-0000-0000-00005D000000}"/>
    <cellStyle name="40% - アクセント 2 3" xfId="187" xr:uid="{00000000-0005-0000-0000-0000AB000000}"/>
    <cellStyle name="40% - アクセント 3" xfId="60" builtinId="39" customBuiltin="1"/>
    <cellStyle name="40% - アクセント 3 2" xfId="120" xr:uid="{00000000-0005-0000-0000-00005E000000}"/>
    <cellStyle name="40% - アクセント 3 2 2" xfId="246" xr:uid="{00000000-0005-0000-0000-00005E000000}"/>
    <cellStyle name="40% - アクセント 3 3" xfId="190" xr:uid="{00000000-0005-0000-0000-0000AD000000}"/>
    <cellStyle name="40% - アクセント 4" xfId="64" builtinId="43" customBuiltin="1"/>
    <cellStyle name="40% - アクセント 4 2" xfId="123" xr:uid="{00000000-0005-0000-0000-00005F000000}"/>
    <cellStyle name="40% - アクセント 4 2 2" xfId="249" xr:uid="{00000000-0005-0000-0000-00005F000000}"/>
    <cellStyle name="40% - アクセント 4 3" xfId="193" xr:uid="{00000000-0005-0000-0000-0000AF000000}"/>
    <cellStyle name="40% - アクセント 5" xfId="68" builtinId="47" customBuiltin="1"/>
    <cellStyle name="40% - アクセント 5 2" xfId="126" xr:uid="{00000000-0005-0000-0000-000060000000}"/>
    <cellStyle name="40% - アクセント 5 2 2" xfId="252" xr:uid="{00000000-0005-0000-0000-000060000000}"/>
    <cellStyle name="40% - アクセント 5 3" xfId="196" xr:uid="{00000000-0005-0000-0000-0000B1000000}"/>
    <cellStyle name="40% - アクセント 6" xfId="72" builtinId="51" customBuiltin="1"/>
    <cellStyle name="40% - アクセント 6 2" xfId="129" xr:uid="{00000000-0005-0000-0000-000061000000}"/>
    <cellStyle name="40% - アクセント 6 2 2" xfId="255" xr:uid="{00000000-0005-0000-0000-000061000000}"/>
    <cellStyle name="40% - アクセント 6 3" xfId="199" xr:uid="{00000000-0005-0000-0000-0000B3000000}"/>
    <cellStyle name="60% - アクセント 1" xfId="53" builtinId="32" customBuiltin="1"/>
    <cellStyle name="60% - アクセント 1 2" xfId="115" xr:uid="{00000000-0005-0000-0000-000062000000}"/>
    <cellStyle name="60% - アクセント 1 2 2" xfId="241" xr:uid="{00000000-0005-0000-0000-000062000000}"/>
    <cellStyle name="60% - アクセント 1 3" xfId="185" xr:uid="{00000000-0005-0000-0000-0000B5000000}"/>
    <cellStyle name="60% - アクセント 2" xfId="57" builtinId="36" customBuiltin="1"/>
    <cellStyle name="60% - アクセント 2 2" xfId="118" xr:uid="{00000000-0005-0000-0000-000063000000}"/>
    <cellStyle name="60% - アクセント 2 2 2" xfId="244" xr:uid="{00000000-0005-0000-0000-000063000000}"/>
    <cellStyle name="60% - アクセント 2 3" xfId="188" xr:uid="{00000000-0005-0000-0000-0000B7000000}"/>
    <cellStyle name="60% - アクセント 3" xfId="61" builtinId="40" customBuiltin="1"/>
    <cellStyle name="60% - アクセント 3 2" xfId="121" xr:uid="{00000000-0005-0000-0000-000064000000}"/>
    <cellStyle name="60% - アクセント 3 2 2" xfId="247" xr:uid="{00000000-0005-0000-0000-000064000000}"/>
    <cellStyle name="60% - アクセント 3 3" xfId="191" xr:uid="{00000000-0005-0000-0000-0000B9000000}"/>
    <cellStyle name="60% - アクセント 4" xfId="65" builtinId="44" customBuiltin="1"/>
    <cellStyle name="60% - アクセント 4 2" xfId="124" xr:uid="{00000000-0005-0000-0000-000065000000}"/>
    <cellStyle name="60% - アクセント 4 2 2" xfId="250" xr:uid="{00000000-0005-0000-0000-000065000000}"/>
    <cellStyle name="60% - アクセント 4 3" xfId="194" xr:uid="{00000000-0005-0000-0000-0000BB000000}"/>
    <cellStyle name="60% - アクセント 5" xfId="69" builtinId="48" customBuiltin="1"/>
    <cellStyle name="60% - アクセント 5 2" xfId="127" xr:uid="{00000000-0005-0000-0000-000066000000}"/>
    <cellStyle name="60% - アクセント 5 2 2" xfId="253" xr:uid="{00000000-0005-0000-0000-000066000000}"/>
    <cellStyle name="60% - アクセント 5 3" xfId="197" xr:uid="{00000000-0005-0000-0000-0000BD000000}"/>
    <cellStyle name="60% - アクセント 6" xfId="73" builtinId="52" customBuiltin="1"/>
    <cellStyle name="60% - アクセント 6 2" xfId="130" xr:uid="{00000000-0005-0000-0000-000067000000}"/>
    <cellStyle name="60% - アクセント 6 2 2" xfId="256" xr:uid="{00000000-0005-0000-0000-000067000000}"/>
    <cellStyle name="60% - アクセント 6 3" xfId="200" xr:uid="{00000000-0005-0000-0000-0000BF000000}"/>
    <cellStyle name="アクセント 1" xfId="50" builtinId="29" customBuiltin="1"/>
    <cellStyle name="アクセント 2" xfId="54" builtinId="33" customBuiltin="1"/>
    <cellStyle name="アクセント 3" xfId="58" builtinId="37" customBuiltin="1"/>
    <cellStyle name="アクセント 4" xfId="62" builtinId="41" customBuiltin="1"/>
    <cellStyle name="アクセント 5" xfId="66" builtinId="45" customBuiltin="1"/>
    <cellStyle name="アクセント 6" xfId="70" builtinId="49" customBuiltin="1"/>
    <cellStyle name="タイトル" xfId="34" builtinId="15" customBuiltin="1"/>
    <cellStyle name="チェック セル" xfId="46" builtinId="23" customBuiltin="1"/>
    <cellStyle name="どちらでもない" xfId="41" builtinId="28" customBuiltin="1"/>
    <cellStyle name="パーセント" xfId="276" builtinId="5"/>
    <cellStyle name="パーセント 2" xfId="78" xr:uid="{4A718C22-FA2E-4C3C-9FF8-C6BDF0266DED}"/>
    <cellStyle name="パーセント 2 2" xfId="134" xr:uid="{4A718C22-FA2E-4C3C-9FF8-C6BDF0266DED}"/>
    <cellStyle name="パーセント 2 2 2" xfId="260" xr:uid="{4A718C22-FA2E-4C3C-9FF8-C6BDF0266DED}"/>
    <cellStyle name="パーセント 2 3" xfId="204" xr:uid="{4A718C22-FA2E-4C3C-9FF8-C6BDF0266DED}"/>
    <cellStyle name="パーセント 3" xfId="147" xr:uid="{00000000-0005-0000-0000-000096000000}"/>
    <cellStyle name="パーセント 3 2" xfId="272" xr:uid="{00000000-0005-0000-0000-000096000000}"/>
    <cellStyle name="ハイパーリンク 2" xfId="145" xr:uid="{00000000-0005-0000-0000-000097000000}"/>
    <cellStyle name="メモ 2" xfId="75" xr:uid="{00000000-0005-0000-0000-000050000000}"/>
    <cellStyle name="メモ 2 2" xfId="132" xr:uid="{00000000-0005-0000-0000-000050000000}"/>
    <cellStyle name="メモ 2 2 2" xfId="258" xr:uid="{00000000-0005-0000-0000-000050000000}"/>
    <cellStyle name="メモ 2 3" xfId="202" xr:uid="{00000000-0005-0000-0000-000050000000}"/>
    <cellStyle name="リンク セル" xfId="45" builtinId="24" customBuiltin="1"/>
    <cellStyle name="悪い" xfId="40" builtinId="27" customBuiltin="1"/>
    <cellStyle name="計算" xfId="44" builtinId="22" customBuiltin="1"/>
    <cellStyle name="警告文" xfId="47" builtinId="11" customBuiltin="1"/>
    <cellStyle name="桁区切り" xfId="76" builtinId="6"/>
    <cellStyle name="桁区切り 2" xfId="138" xr:uid="{A819B6D3-1389-475A-BB54-F0373689C625}"/>
    <cellStyle name="桁区切り 2 2" xfId="149" xr:uid="{B4F9AE75-98E0-42A4-A198-A7F80A37D992}"/>
    <cellStyle name="桁区切り 2 3" xfId="264" xr:uid="{A819B6D3-1389-475A-BB54-F0373689C625}"/>
    <cellStyle name="桁区切り 3" xfId="146" xr:uid="{00000000-0005-0000-0000-000098000000}"/>
    <cellStyle name="桁区切り 3 2" xfId="271" xr:uid="{00000000-0005-0000-0000-000098000000}"/>
    <cellStyle name="見出し 1" xfId="35" builtinId="16" customBuiltin="1"/>
    <cellStyle name="見出し 2" xfId="36" builtinId="17" customBuiltin="1"/>
    <cellStyle name="見出し 3" xfId="37" builtinId="18" customBuiltin="1"/>
    <cellStyle name="見出し 4" xfId="38" builtinId="19" customBuiltin="1"/>
    <cellStyle name="集計" xfId="49" builtinId="25" customBuiltin="1"/>
    <cellStyle name="出力" xfId="43" builtinId="21" customBuiltin="1"/>
    <cellStyle name="説明文" xfId="48" builtinId="53" customBuiltin="1"/>
    <cellStyle name="入力" xfId="42" builtinId="20" customBuiltin="1"/>
    <cellStyle name="標準" xfId="0" builtinId="0"/>
    <cellStyle name="標準 2" xfId="1" xr:uid="{00000000-0005-0000-0000-000001000000}"/>
    <cellStyle name="標準 2 10" xfId="143" xr:uid="{152ED54B-4B3B-47B2-873C-C4045B40F48B}"/>
    <cellStyle name="標準 2 10 2" xfId="269" xr:uid="{152ED54B-4B3B-47B2-873C-C4045B40F48B}"/>
    <cellStyle name="標準 2 11" xfId="150" xr:uid="{FE996510-89DF-4379-97B7-303A4CDE2F28}"/>
    <cellStyle name="標準 2 12" xfId="151" xr:uid="{00000000-0005-0000-0000-000001000000}"/>
    <cellStyle name="標準 2 2" xfId="2" xr:uid="{00000000-0005-0000-0000-000002000000}"/>
    <cellStyle name="標準 2 2 2" xfId="5" xr:uid="{00000000-0005-0000-0000-000003000000}"/>
    <cellStyle name="標準 2 2 2 2" xfId="14" xr:uid="{00000000-0005-0000-0000-000004000000}"/>
    <cellStyle name="標準 2 2 2 2 2" xfId="30" xr:uid="{00000000-0005-0000-0000-000005000000}"/>
    <cellStyle name="標準 2 2 2 2 2 2" xfId="109" xr:uid="{00000000-0005-0000-0000-000005000000}"/>
    <cellStyle name="標準 2 2 2 2 2 2 2" xfId="235" xr:uid="{00000000-0005-0000-0000-000005000000}"/>
    <cellStyle name="標準 2 2 2 2 2 3" xfId="179" xr:uid="{00000000-0005-0000-0000-000005000000}"/>
    <cellStyle name="標準 2 2 2 2 3" xfId="93" xr:uid="{00000000-0005-0000-0000-000004000000}"/>
    <cellStyle name="標準 2 2 2 2 3 2" xfId="219" xr:uid="{00000000-0005-0000-0000-000004000000}"/>
    <cellStyle name="標準 2 2 2 2 4" xfId="163" xr:uid="{00000000-0005-0000-0000-000004000000}"/>
    <cellStyle name="標準 2 2 2 3" xfId="22" xr:uid="{00000000-0005-0000-0000-000006000000}"/>
    <cellStyle name="標準 2 2 2 3 2" xfId="101" xr:uid="{00000000-0005-0000-0000-000006000000}"/>
    <cellStyle name="標準 2 2 2 3 2 2" xfId="227" xr:uid="{00000000-0005-0000-0000-000006000000}"/>
    <cellStyle name="標準 2 2 2 3 3" xfId="171" xr:uid="{00000000-0005-0000-0000-000006000000}"/>
    <cellStyle name="標準 2 2 2 4" xfId="85" xr:uid="{00000000-0005-0000-0000-000003000000}"/>
    <cellStyle name="標準 2 2 2 4 2" xfId="211" xr:uid="{00000000-0005-0000-0000-000003000000}"/>
    <cellStyle name="標準 2 2 2 5" xfId="155" xr:uid="{00000000-0005-0000-0000-000003000000}"/>
    <cellStyle name="標準 2 2 3" xfId="11" xr:uid="{00000000-0005-0000-0000-000007000000}"/>
    <cellStyle name="標準 2 2 3 2" xfId="27" xr:uid="{00000000-0005-0000-0000-000008000000}"/>
    <cellStyle name="標準 2 2 3 2 2" xfId="106" xr:uid="{00000000-0005-0000-0000-000008000000}"/>
    <cellStyle name="標準 2 2 3 2 2 2" xfId="232" xr:uid="{00000000-0005-0000-0000-000008000000}"/>
    <cellStyle name="標準 2 2 3 2 3" xfId="176" xr:uid="{00000000-0005-0000-0000-000008000000}"/>
    <cellStyle name="標準 2 2 3 3" xfId="90" xr:uid="{00000000-0005-0000-0000-000007000000}"/>
    <cellStyle name="標準 2 2 3 3 2" xfId="216" xr:uid="{00000000-0005-0000-0000-000007000000}"/>
    <cellStyle name="標準 2 2 3 4" xfId="160" xr:uid="{00000000-0005-0000-0000-000007000000}"/>
    <cellStyle name="標準 2 2 4" xfId="19" xr:uid="{00000000-0005-0000-0000-000009000000}"/>
    <cellStyle name="標準 2 2 4 2" xfId="98" xr:uid="{00000000-0005-0000-0000-000009000000}"/>
    <cellStyle name="標準 2 2 4 2 2" xfId="224" xr:uid="{00000000-0005-0000-0000-000009000000}"/>
    <cellStyle name="標準 2 2 4 3" xfId="168" xr:uid="{00000000-0005-0000-0000-000009000000}"/>
    <cellStyle name="標準 2 2 5" xfId="82" xr:uid="{00000000-0005-0000-0000-000002000000}"/>
    <cellStyle name="標準 2 2 5 2" xfId="208" xr:uid="{00000000-0005-0000-0000-000002000000}"/>
    <cellStyle name="標準 2 2 6" xfId="152" xr:uid="{00000000-0005-0000-0000-000002000000}"/>
    <cellStyle name="標準 2 3" xfId="3" xr:uid="{00000000-0005-0000-0000-00000A000000}"/>
    <cellStyle name="標準 2 3 2" xfId="6" xr:uid="{00000000-0005-0000-0000-00000B000000}"/>
    <cellStyle name="標準 2 3 2 2" xfId="15" xr:uid="{00000000-0005-0000-0000-00000C000000}"/>
    <cellStyle name="標準 2 3 2 2 2" xfId="31" xr:uid="{00000000-0005-0000-0000-00000D000000}"/>
    <cellStyle name="標準 2 3 2 2 2 2" xfId="110" xr:uid="{00000000-0005-0000-0000-00000D000000}"/>
    <cellStyle name="標準 2 3 2 2 2 2 2" xfId="236" xr:uid="{00000000-0005-0000-0000-00000D000000}"/>
    <cellStyle name="標準 2 3 2 2 2 3" xfId="180" xr:uid="{00000000-0005-0000-0000-00000D000000}"/>
    <cellStyle name="標準 2 3 2 2 3" xfId="94" xr:uid="{00000000-0005-0000-0000-00000C000000}"/>
    <cellStyle name="標準 2 3 2 2 3 2" xfId="220" xr:uid="{00000000-0005-0000-0000-00000C000000}"/>
    <cellStyle name="標準 2 3 2 2 4" xfId="164" xr:uid="{00000000-0005-0000-0000-00000C000000}"/>
    <cellStyle name="標準 2 3 2 3" xfId="23" xr:uid="{00000000-0005-0000-0000-00000E000000}"/>
    <cellStyle name="標準 2 3 2 3 2" xfId="102" xr:uid="{00000000-0005-0000-0000-00000E000000}"/>
    <cellStyle name="標準 2 3 2 3 2 2" xfId="228" xr:uid="{00000000-0005-0000-0000-00000E000000}"/>
    <cellStyle name="標準 2 3 2 3 3" xfId="172" xr:uid="{00000000-0005-0000-0000-00000E000000}"/>
    <cellStyle name="標準 2 3 2 4" xfId="86" xr:uid="{00000000-0005-0000-0000-00000B000000}"/>
    <cellStyle name="標準 2 3 2 4 2" xfId="212" xr:uid="{00000000-0005-0000-0000-00000B000000}"/>
    <cellStyle name="標準 2 3 2 5" xfId="156" xr:uid="{00000000-0005-0000-0000-00000B000000}"/>
    <cellStyle name="標準 2 3 3" xfId="12" xr:uid="{00000000-0005-0000-0000-00000F000000}"/>
    <cellStyle name="標準 2 3 3 2" xfId="28" xr:uid="{00000000-0005-0000-0000-000010000000}"/>
    <cellStyle name="標準 2 3 3 2 2" xfId="107" xr:uid="{00000000-0005-0000-0000-000010000000}"/>
    <cellStyle name="標準 2 3 3 2 2 2" xfId="233" xr:uid="{00000000-0005-0000-0000-000010000000}"/>
    <cellStyle name="標準 2 3 3 2 3" xfId="177" xr:uid="{00000000-0005-0000-0000-000010000000}"/>
    <cellStyle name="標準 2 3 3 3" xfId="91" xr:uid="{00000000-0005-0000-0000-00000F000000}"/>
    <cellStyle name="標準 2 3 3 3 2" xfId="217" xr:uid="{00000000-0005-0000-0000-00000F000000}"/>
    <cellStyle name="標準 2 3 3 4" xfId="161" xr:uid="{00000000-0005-0000-0000-00000F000000}"/>
    <cellStyle name="標準 2 3 4" xfId="20" xr:uid="{00000000-0005-0000-0000-000011000000}"/>
    <cellStyle name="標準 2 3 4 2" xfId="99" xr:uid="{00000000-0005-0000-0000-000011000000}"/>
    <cellStyle name="標準 2 3 4 2 2" xfId="225" xr:uid="{00000000-0005-0000-0000-000011000000}"/>
    <cellStyle name="標準 2 3 4 3" xfId="169" xr:uid="{00000000-0005-0000-0000-000011000000}"/>
    <cellStyle name="標準 2 3 5" xfId="83" xr:uid="{00000000-0005-0000-0000-00000A000000}"/>
    <cellStyle name="標準 2 3 5 2" xfId="209" xr:uid="{00000000-0005-0000-0000-00000A000000}"/>
    <cellStyle name="標準 2 3 6" xfId="140" xr:uid="{C0DE5031-B6EE-4446-B5E1-2CBCCF15F7AE}"/>
    <cellStyle name="標準 2 3 6 2" xfId="266" xr:uid="{C0DE5031-B6EE-4446-B5E1-2CBCCF15F7AE}"/>
    <cellStyle name="標準 2 3 7" xfId="153" xr:uid="{00000000-0005-0000-0000-00000A000000}"/>
    <cellStyle name="標準 2 4" xfId="4" xr:uid="{00000000-0005-0000-0000-000012000000}"/>
    <cellStyle name="標準 2 4 2" xfId="13" xr:uid="{00000000-0005-0000-0000-000013000000}"/>
    <cellStyle name="標準 2 4 2 2" xfId="29" xr:uid="{00000000-0005-0000-0000-000014000000}"/>
    <cellStyle name="標準 2 4 2 2 2" xfId="108" xr:uid="{00000000-0005-0000-0000-000014000000}"/>
    <cellStyle name="標準 2 4 2 2 2 2" xfId="234" xr:uid="{00000000-0005-0000-0000-000014000000}"/>
    <cellStyle name="標準 2 4 2 2 3" xfId="178" xr:uid="{00000000-0005-0000-0000-000014000000}"/>
    <cellStyle name="標準 2 4 2 3" xfId="92" xr:uid="{00000000-0005-0000-0000-000013000000}"/>
    <cellStyle name="標準 2 4 2 3 2" xfId="218" xr:uid="{00000000-0005-0000-0000-000013000000}"/>
    <cellStyle name="標準 2 4 2 4" xfId="162" xr:uid="{00000000-0005-0000-0000-000013000000}"/>
    <cellStyle name="標準 2 4 3" xfId="21" xr:uid="{00000000-0005-0000-0000-000015000000}"/>
    <cellStyle name="標準 2 4 3 2" xfId="100" xr:uid="{00000000-0005-0000-0000-000015000000}"/>
    <cellStyle name="標準 2 4 3 2 2" xfId="226" xr:uid="{00000000-0005-0000-0000-000015000000}"/>
    <cellStyle name="標準 2 4 3 3" xfId="170" xr:uid="{00000000-0005-0000-0000-000015000000}"/>
    <cellStyle name="標準 2 4 4" xfId="84" xr:uid="{00000000-0005-0000-0000-000012000000}"/>
    <cellStyle name="標準 2 4 4 2" xfId="210" xr:uid="{00000000-0005-0000-0000-000012000000}"/>
    <cellStyle name="標準 2 4 5" xfId="154" xr:uid="{00000000-0005-0000-0000-000012000000}"/>
    <cellStyle name="標準 2 5" xfId="8" xr:uid="{00000000-0005-0000-0000-000016000000}"/>
    <cellStyle name="標準 2 5 2" xfId="16" xr:uid="{00000000-0005-0000-0000-000017000000}"/>
    <cellStyle name="標準 2 5 2 2" xfId="32" xr:uid="{00000000-0005-0000-0000-000018000000}"/>
    <cellStyle name="標準 2 5 2 2 2" xfId="111" xr:uid="{00000000-0005-0000-0000-000018000000}"/>
    <cellStyle name="標準 2 5 2 2 2 2" xfId="237" xr:uid="{00000000-0005-0000-0000-000018000000}"/>
    <cellStyle name="標準 2 5 2 2 3" xfId="181" xr:uid="{00000000-0005-0000-0000-000018000000}"/>
    <cellStyle name="標準 2 5 2 3" xfId="95" xr:uid="{00000000-0005-0000-0000-000017000000}"/>
    <cellStyle name="標準 2 5 2 3 2" xfId="221" xr:uid="{00000000-0005-0000-0000-000017000000}"/>
    <cellStyle name="標準 2 5 2 4" xfId="165" xr:uid="{00000000-0005-0000-0000-000017000000}"/>
    <cellStyle name="標準 2 5 3" xfId="24" xr:uid="{00000000-0005-0000-0000-000019000000}"/>
    <cellStyle name="標準 2 5 3 2" xfId="103" xr:uid="{00000000-0005-0000-0000-000019000000}"/>
    <cellStyle name="標準 2 5 3 2 2" xfId="229" xr:uid="{00000000-0005-0000-0000-000019000000}"/>
    <cellStyle name="標準 2 5 3 3" xfId="173" xr:uid="{00000000-0005-0000-0000-000019000000}"/>
    <cellStyle name="標準 2 5 4" xfId="87" xr:uid="{00000000-0005-0000-0000-000016000000}"/>
    <cellStyle name="標準 2 5 4 2" xfId="213" xr:uid="{00000000-0005-0000-0000-000016000000}"/>
    <cellStyle name="標準 2 5 5" xfId="157" xr:uid="{00000000-0005-0000-0000-000016000000}"/>
    <cellStyle name="標準 2 6" xfId="9" xr:uid="{00000000-0005-0000-0000-00001A000000}"/>
    <cellStyle name="標準 2 6 2" xfId="17" xr:uid="{00000000-0005-0000-0000-00001B000000}"/>
    <cellStyle name="標準 2 6 2 2" xfId="33" xr:uid="{00000000-0005-0000-0000-00001C000000}"/>
    <cellStyle name="標準 2 6 2 2 2" xfId="112" xr:uid="{00000000-0005-0000-0000-00001C000000}"/>
    <cellStyle name="標準 2 6 2 2 2 2" xfId="238" xr:uid="{00000000-0005-0000-0000-00001C000000}"/>
    <cellStyle name="標準 2 6 2 2 3" xfId="182" xr:uid="{00000000-0005-0000-0000-00001C000000}"/>
    <cellStyle name="標準 2 6 2 3" xfId="96" xr:uid="{00000000-0005-0000-0000-00001B000000}"/>
    <cellStyle name="標準 2 6 2 3 2" xfId="222" xr:uid="{00000000-0005-0000-0000-00001B000000}"/>
    <cellStyle name="標準 2 6 2 4" xfId="166" xr:uid="{00000000-0005-0000-0000-00001B000000}"/>
    <cellStyle name="標準 2 6 3" xfId="25" xr:uid="{00000000-0005-0000-0000-00001D000000}"/>
    <cellStyle name="標準 2 6 3 2" xfId="104" xr:uid="{00000000-0005-0000-0000-00001D000000}"/>
    <cellStyle name="標準 2 6 3 2 2" xfId="230" xr:uid="{00000000-0005-0000-0000-00001D000000}"/>
    <cellStyle name="標準 2 6 3 3" xfId="174" xr:uid="{00000000-0005-0000-0000-00001D000000}"/>
    <cellStyle name="標準 2 6 4" xfId="88" xr:uid="{00000000-0005-0000-0000-00001A000000}"/>
    <cellStyle name="標準 2 6 4 2" xfId="214" xr:uid="{00000000-0005-0000-0000-00001A000000}"/>
    <cellStyle name="標準 2 6 5" xfId="158" xr:uid="{00000000-0005-0000-0000-00001A000000}"/>
    <cellStyle name="標準 2 7" xfId="10" xr:uid="{00000000-0005-0000-0000-00001E000000}"/>
    <cellStyle name="標準 2 7 2" xfId="26" xr:uid="{00000000-0005-0000-0000-00001F000000}"/>
    <cellStyle name="標準 2 7 2 2" xfId="105" xr:uid="{00000000-0005-0000-0000-00001F000000}"/>
    <cellStyle name="標準 2 7 2 2 2" xfId="231" xr:uid="{00000000-0005-0000-0000-00001F000000}"/>
    <cellStyle name="標準 2 7 2 3" xfId="175" xr:uid="{00000000-0005-0000-0000-00001F000000}"/>
    <cellStyle name="標準 2 7 3" xfId="89" xr:uid="{00000000-0005-0000-0000-00001E000000}"/>
    <cellStyle name="標準 2 7 3 2" xfId="215" xr:uid="{00000000-0005-0000-0000-00001E000000}"/>
    <cellStyle name="標準 2 7 4" xfId="159" xr:uid="{00000000-0005-0000-0000-00001E000000}"/>
    <cellStyle name="標準 2 8" xfId="18" xr:uid="{00000000-0005-0000-0000-000020000000}"/>
    <cellStyle name="標準 2 8 2" xfId="97" xr:uid="{00000000-0005-0000-0000-000020000000}"/>
    <cellStyle name="標準 2 8 2 2" xfId="223" xr:uid="{00000000-0005-0000-0000-000020000000}"/>
    <cellStyle name="標準 2 8 3" xfId="167" xr:uid="{00000000-0005-0000-0000-000020000000}"/>
    <cellStyle name="標準 2 9" xfId="81" xr:uid="{00000000-0005-0000-0000-000001000000}"/>
    <cellStyle name="標準 2 9 2" xfId="207" xr:uid="{00000000-0005-0000-0000-000001000000}"/>
    <cellStyle name="標準 3" xfId="7" xr:uid="{00000000-0005-0000-0000-000021000000}"/>
    <cellStyle name="標準 3 2" xfId="141" xr:uid="{30B7D759-BEAC-4671-95B1-F6AA1769E154}"/>
    <cellStyle name="標準 3 2 2" xfId="267" xr:uid="{30B7D759-BEAC-4671-95B1-F6AA1769E154}"/>
    <cellStyle name="標準 4" xfId="74" xr:uid="{00000000-0005-0000-0000-000051000000}"/>
    <cellStyle name="標準 4 2" xfId="79" xr:uid="{CCAF3125-DBCE-44A8-BB5A-6FA2C5683587}"/>
    <cellStyle name="標準 4 2 2" xfId="135" xr:uid="{CCAF3125-DBCE-44A8-BB5A-6FA2C5683587}"/>
    <cellStyle name="標準 4 2 2 2" xfId="261" xr:uid="{CCAF3125-DBCE-44A8-BB5A-6FA2C5683587}"/>
    <cellStyle name="標準 4 2 3" xfId="205" xr:uid="{CCAF3125-DBCE-44A8-BB5A-6FA2C5683587}"/>
    <cellStyle name="標準 4 3" xfId="131" xr:uid="{00000000-0005-0000-0000-000051000000}"/>
    <cellStyle name="標準 4 3 2" xfId="257" xr:uid="{00000000-0005-0000-0000-000051000000}"/>
    <cellStyle name="標準 4 4" xfId="201" xr:uid="{00000000-0005-0000-0000-000051000000}"/>
    <cellStyle name="標準 5" xfId="77" xr:uid="{248E3B75-434F-4220-A82D-E63A480D5BC1}"/>
    <cellStyle name="標準 5 2" xfId="133" xr:uid="{248E3B75-434F-4220-A82D-E63A480D5BC1}"/>
    <cellStyle name="標準 5 2 2" xfId="259" xr:uid="{248E3B75-434F-4220-A82D-E63A480D5BC1}"/>
    <cellStyle name="標準 5 3" xfId="203" xr:uid="{248E3B75-434F-4220-A82D-E63A480D5BC1}"/>
    <cellStyle name="標準 6" xfId="80" xr:uid="{46DC3ACD-DB2B-4970-9412-76E874EF7BA3}"/>
    <cellStyle name="標準 6 2" xfId="136" xr:uid="{46DC3ACD-DB2B-4970-9412-76E874EF7BA3}"/>
    <cellStyle name="標準 6 2 2" xfId="262" xr:uid="{46DC3ACD-DB2B-4970-9412-76E874EF7BA3}"/>
    <cellStyle name="標準 6 3" xfId="148" xr:uid="{32B92511-3BEF-4D5A-81E7-FBF92B93047D}"/>
    <cellStyle name="標準 6 3 2" xfId="273" xr:uid="{32B92511-3BEF-4D5A-81E7-FBF92B93047D}"/>
    <cellStyle name="標準 6 4" xfId="206" xr:uid="{46DC3ACD-DB2B-4970-9412-76E874EF7BA3}"/>
    <cellStyle name="標準 6 5" xfId="275" xr:uid="{7B87620F-41F0-47C7-A669-3AA206940F9B}"/>
    <cellStyle name="標準 7" xfId="137" xr:uid="{793423BF-DAE5-42AB-9FD3-634F4588CC1D}"/>
    <cellStyle name="標準 7 2" xfId="142" xr:uid="{54102A6A-F60E-4592-BDEC-C72352E118E2}"/>
    <cellStyle name="標準 7 2 2" xfId="268" xr:uid="{54102A6A-F60E-4592-BDEC-C72352E118E2}"/>
    <cellStyle name="標準 7 3" xfId="263" xr:uid="{793423BF-DAE5-42AB-9FD3-634F4588CC1D}"/>
    <cellStyle name="標準 7 4" xfId="274" xr:uid="{156ED8F6-F07C-40CE-82F2-2DBB58ECBBC8}"/>
    <cellStyle name="標準 8" xfId="139" xr:uid="{6FAF781D-7208-43F0-AE62-08E4AD61565F}"/>
    <cellStyle name="標準 8 2" xfId="265" xr:uid="{6FAF781D-7208-43F0-AE62-08E4AD61565F}"/>
    <cellStyle name="標準 9" xfId="144" xr:uid="{00000000-0005-0000-0000-00009A000000}"/>
    <cellStyle name="標準 9 2" xfId="270" xr:uid="{00000000-0005-0000-0000-00009A000000}"/>
    <cellStyle name="良い" xfId="39" builtinId="26" customBuiltin="1"/>
  </cellStyles>
  <dxfs count="27">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78" formatCode="&quot;¥&quot;#,##0_);[Red]\(&quot;¥&quot;#,##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2" formatCode="m/d"/>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2" formatCode="m/d"/>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bgColor rgb="FFFFC000"/>
        </patternFill>
      </fill>
    </dxf>
    <dxf>
      <fill>
        <patternFill>
          <bgColor rgb="FFFF0000"/>
        </patternFill>
      </fill>
    </dxf>
    <dxf>
      <fill>
        <patternFill>
          <bgColor rgb="FFFFC000"/>
        </patternFill>
      </fill>
    </dxf>
    <dxf>
      <fill>
        <patternFill>
          <bgColor rgb="FFFFFF00"/>
        </patternFill>
      </fill>
    </dxf>
    <dxf>
      <font>
        <b/>
        <i val="0"/>
      </font>
      <fill>
        <patternFill>
          <bgColor theme="0" tint="-0.14996795556505021"/>
        </patternFill>
      </fill>
    </dxf>
    <dxf>
      <font>
        <b/>
        <i val="0"/>
      </font>
      <fill>
        <patternFill>
          <bgColor theme="8" tint="0.79998168889431442"/>
        </patternFill>
      </fill>
    </dxf>
    <dxf>
      <font>
        <b/>
        <i val="0"/>
      </font>
      <fill>
        <patternFill>
          <bgColor rgb="FFFFC000"/>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0" tint="-0.24994659260841701"/>
        </patternFill>
      </fill>
    </dxf>
    <dxf>
      <fill>
        <patternFill>
          <bgColor theme="0" tint="-0.2499465926084170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auto="1"/>
        </bottom>
      </border>
    </dxf>
    <dxf>
      <font>
        <b/>
        <i val="0"/>
        <strike val="0"/>
        <condense val="0"/>
        <extend val="0"/>
        <outline val="0"/>
        <shadow val="0"/>
        <u val="none"/>
        <vertAlign val="baseline"/>
        <sz val="12"/>
        <color theme="0"/>
        <name val="Meiryo UI"/>
        <family val="3"/>
        <charset val="128"/>
        <scheme val="none"/>
      </font>
      <fill>
        <patternFill patternType="solid">
          <fgColor theme="4"/>
          <bgColor theme="4"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テーブル スタイル 1" pivot="0" count="0" xr9:uid="{00000000-0011-0000-FFFF-FFFF00000000}"/>
  </tableStyles>
  <colors>
    <mruColors>
      <color rgb="FFFFF3F3"/>
      <color rgb="FFFFFF99"/>
      <color rgb="FFCCECFF"/>
      <color rgb="FFFFFFCC"/>
      <color rgb="FFFF7C80"/>
      <color rgb="FF33CCFF"/>
      <color rgb="FFFFCCCC"/>
      <color rgb="FFFF5050"/>
      <color rgb="FF990000"/>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8"/>
          <c:order val="18"/>
          <c:tx>
            <c:strRef>
              <c:f>'41期グラフ用参照データ'!$X$2</c:f>
              <c:strCache>
                <c:ptCount val="1"/>
                <c:pt idx="0">
                  <c:v>金額</c:v>
                </c:pt>
              </c:strCache>
            </c:strRef>
          </c:tx>
          <c:spPr>
            <a:solidFill>
              <a:srgbClr val="FFFF99"/>
            </a:solidFill>
            <a:ln>
              <a:solidFill>
                <a:schemeClr val="tx1"/>
              </a:solidFill>
            </a:ln>
            <a:effectLst/>
          </c:spPr>
          <c:invertIfNegative val="0"/>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'41期グラフ用参照データ'!$X$3:$X$14</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12-EDE6-4FD2-925C-C4C27FC9FE3F}"/>
            </c:ext>
          </c:extLst>
        </c:ser>
        <c:dLbls>
          <c:showLegendKey val="0"/>
          <c:showVal val="0"/>
          <c:showCatName val="0"/>
          <c:showSerName val="0"/>
          <c:showPercent val="0"/>
          <c:showBubbleSize val="0"/>
        </c:dLbls>
        <c:gapWidth val="150"/>
        <c:axId val="1736600832"/>
        <c:axId val="154239104"/>
      </c:barChart>
      <c:lineChart>
        <c:grouping val="standard"/>
        <c:varyColors val="0"/>
        <c:dLbls>
          <c:showLegendKey val="0"/>
          <c:showVal val="0"/>
          <c:showCatName val="0"/>
          <c:showSerName val="0"/>
          <c:showPercent val="0"/>
          <c:showBubbleSize val="0"/>
        </c:dLbls>
        <c:marker val="1"/>
        <c:smooth val="0"/>
        <c:axId val="962814368"/>
        <c:axId val="1201068368"/>
        <c:extLst>
          <c:ext xmlns:c15="http://schemas.microsoft.com/office/drawing/2012/chart" uri="{02D57815-91ED-43cb-92C2-25804820EDAC}">
            <c15:filteredLineSeries>
              <c15:ser>
                <c:idx val="0"/>
                <c:order val="0"/>
                <c:tx>
                  <c:strRef>
                    <c:extLst>
                      <c:ext uri="{02D57815-91ED-43cb-92C2-25804820EDAC}">
                        <c15:formulaRef>
                          <c15:sqref>'41期グラフ用参照データ'!$E$2</c15:sqref>
                        </c15:formulaRef>
                      </c:ext>
                    </c:extLst>
                    <c:strCache>
                      <c:ptCount val="1"/>
                      <c:pt idx="0">
                        <c:v>A型</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extLst>
                      <c:ex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c:ext uri="{02D57815-91ED-43cb-92C2-25804820EDAC}">
                        <c15:formulaRef>
                          <c15:sqref>'41期グラフ用参照データ'!$E$3:$E$14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EDE6-4FD2-925C-C4C27FC9FE3F}"/>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'41期グラフ用参照データ'!$F$2</c15:sqref>
                        </c15:formulaRef>
                      </c:ext>
                    </c:extLst>
                    <c:strCache>
                      <c:ptCount val="1"/>
                      <c:pt idx="0">
                        <c:v>B型</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'41期グラフ用参照データ'!$F$3:$F$14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4-EDE6-4FD2-925C-C4C27FC9FE3F}"/>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'41期グラフ用参照データ'!$G$2</c15:sqref>
                        </c15:formulaRef>
                      </c:ext>
                    </c:extLst>
                    <c:strCache>
                      <c:ptCount val="1"/>
                      <c:pt idx="0">
                        <c:v>C型</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'41期グラフ用参照データ'!$G$3:$G$14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EDE6-4FD2-925C-C4C27FC9FE3F}"/>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'41期グラフ用参照データ'!$H$2</c15:sqref>
                        </c15:formulaRef>
                      </c:ext>
                    </c:extLst>
                    <c:strCache>
                      <c:ptCount val="1"/>
                      <c:pt idx="0">
                        <c:v>D型</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'41期グラフ用参照データ'!$H$3:$H$14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6-EDE6-4FD2-925C-C4C27FC9FE3F}"/>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'41期グラフ用参照データ'!$I$2</c15:sqref>
                        </c15:formulaRef>
                      </c:ext>
                    </c:extLst>
                    <c:strCache>
                      <c:ptCount val="1"/>
                      <c:pt idx="0">
                        <c:v>E型</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'41期グラフ用参照データ'!$I$3:$I$14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7-EDE6-4FD2-925C-C4C27FC9FE3F}"/>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'41期グラフ用参照データ'!$J$2</c15:sqref>
                        </c15:formulaRef>
                      </c:ext>
                    </c:extLst>
                    <c:strCache>
                      <c:ptCount val="1"/>
                      <c:pt idx="0">
                        <c:v>F型</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'41期グラフ用参照データ'!$J$3:$J$14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8-EDE6-4FD2-925C-C4C27FC9FE3F}"/>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'41期グラフ用参照データ'!$K$2</c15:sqref>
                        </c15:formulaRef>
                      </c:ext>
                    </c:extLst>
                    <c:strCache>
                      <c:ptCount val="1"/>
                      <c:pt idx="0">
                        <c:v>H型</c:v>
                      </c:pt>
                    </c:strCache>
                  </c:strRef>
                </c:tx>
                <c:spPr>
                  <a:ln w="28575" cap="rnd">
                    <a:solidFill>
                      <a:schemeClr val="accent1">
                        <a:lumMod val="60000"/>
                      </a:schemeClr>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'41期グラフ用参照データ'!$K$3:$K$14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2-EDE6-4FD2-925C-C4C27FC9FE3F}"/>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'41期グラフ用参照データ'!$L$2</c15:sqref>
                        </c15:formulaRef>
                      </c:ext>
                    </c:extLst>
                    <c:strCache>
                      <c:ptCount val="1"/>
                      <c:pt idx="0">
                        <c:v>I型</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'41期グラフ用参照データ'!$L$3:$L$14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9-EDE6-4FD2-925C-C4C27FC9FE3F}"/>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'41期グラフ用参照データ'!$M$2</c15:sqref>
                        </c15:formulaRef>
                      </c:ext>
                    </c:extLst>
                    <c:strCache>
                      <c:ptCount val="1"/>
                      <c:pt idx="0">
                        <c:v>J型</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'41期グラフ用参照データ'!$M$3:$M$14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A-EDE6-4FD2-925C-C4C27FC9FE3F}"/>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'41期グラフ用参照データ'!$N$2</c15:sqref>
                        </c15:formulaRef>
                      </c:ext>
                    </c:extLst>
                    <c:strCache>
                      <c:ptCount val="1"/>
                      <c:pt idx="0">
                        <c:v>K型</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'41期グラフ用参照データ'!$N$3:$N$14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EDE6-4FD2-925C-C4C27FC9FE3F}"/>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'41期グラフ用参照データ'!$O$2</c15:sqref>
                        </c15:formulaRef>
                      </c:ext>
                    </c:extLst>
                    <c:strCache>
                      <c:ptCount val="1"/>
                      <c:pt idx="0">
                        <c:v>L型</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'41期グラフ用参照データ'!$O$3:$O$14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C-EDE6-4FD2-925C-C4C27FC9FE3F}"/>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'41期グラフ用参照データ'!$P$2</c15:sqref>
                        </c15:formulaRef>
                      </c:ext>
                    </c:extLst>
                    <c:strCache>
                      <c:ptCount val="1"/>
                      <c:pt idx="0">
                        <c:v>納品時単価差異</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'41期グラフ用参照データ'!$P$3:$P$14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D-EDE6-4FD2-925C-C4C27FC9FE3F}"/>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'41期グラフ用参照データ'!$Q$2</c15:sqref>
                        </c15:formulaRef>
                      </c:ext>
                    </c:extLst>
                    <c:strCache>
                      <c:ptCount val="1"/>
                      <c:pt idx="0">
                        <c:v>posキャンペーン登録</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'41期グラフ用参照データ'!$Q$3:$Q$14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E-EDE6-4FD2-925C-C4C27FC9FE3F}"/>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'41期グラフ用参照データ'!$R$2</c15:sqref>
                        </c15:formulaRef>
                      </c:ext>
                    </c:extLst>
                    <c:strCache>
                      <c:ptCount val="1"/>
                      <c:pt idx="0">
                        <c:v>見積計上</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'41期グラフ用参照データ'!$R$3:$R$14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F-EDE6-4FD2-925C-C4C27FC9FE3F}"/>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'41期グラフ用参照データ'!$T$2</c15:sqref>
                        </c15:formulaRef>
                      </c:ext>
                    </c:extLst>
                    <c:strCache>
                      <c:ptCount val="1"/>
                      <c:pt idx="0">
                        <c:v>その他</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'41期グラフ用参照データ'!$T$3:$T$14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10-EDE6-4FD2-925C-C4C27FC9FE3F}"/>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'41期グラフ用参照データ'!$U$2</c15:sqref>
                        </c15:formulaRef>
                      </c:ext>
                    </c:extLst>
                    <c:strCache>
                      <c:ptCount val="1"/>
                      <c:pt idx="0">
                        <c:v>なし</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'41期グラフ用参照データ'!$U$3:$U$14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11-EDE6-4FD2-925C-C4C27FC9FE3F}"/>
                  </c:ext>
                </c:extLst>
              </c15:ser>
            </c15:filteredLineSeries>
          </c:ext>
        </c:extLst>
      </c:lineChart>
      <c:lineChart>
        <c:grouping val="standard"/>
        <c:varyColors val="0"/>
        <c:ser>
          <c:idx val="16"/>
          <c:order val="16"/>
          <c:tx>
            <c:strRef>
              <c:f>'41期グラフ用参照データ'!$V$2</c:f>
              <c:strCache>
                <c:ptCount val="1"/>
                <c:pt idx="0">
                  <c:v>G型以外</c:v>
                </c:pt>
              </c:strCache>
            </c:strRef>
          </c:tx>
          <c:spPr>
            <a:ln w="50800" cap="rnd">
              <a:solidFill>
                <a:schemeClr val="accent5">
                  <a:lumMod val="80000"/>
                  <a:lumOff val="20000"/>
                </a:schemeClr>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'41期グラフ用参照データ'!$V$3:$V$14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DE6-4FD2-925C-C4C27FC9FE3F}"/>
            </c:ext>
          </c:extLst>
        </c:ser>
        <c:ser>
          <c:idx val="17"/>
          <c:order val="17"/>
          <c:tx>
            <c:strRef>
              <c:f>'41期グラフ用参照データ'!$W$2</c:f>
              <c:strCache>
                <c:ptCount val="1"/>
                <c:pt idx="0">
                  <c:v>G型</c:v>
                </c:pt>
              </c:strCache>
            </c:strRef>
          </c:tx>
          <c:spPr>
            <a:ln w="50800" cap="rnd">
              <a:solidFill>
                <a:srgbClr val="FF0000"/>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'41期グラフ用参照データ'!$W$3:$W$14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DE6-4FD2-925C-C4C27FC9FE3F}"/>
            </c:ext>
          </c:extLst>
        </c:ser>
        <c:dLbls>
          <c:showLegendKey val="0"/>
          <c:showVal val="0"/>
          <c:showCatName val="0"/>
          <c:showSerName val="0"/>
          <c:showPercent val="0"/>
          <c:showBubbleSize val="0"/>
        </c:dLbls>
        <c:marker val="1"/>
        <c:smooth val="0"/>
        <c:axId val="962814368"/>
        <c:axId val="1201068368"/>
        <c:extLst>
          <c:ext xmlns:c15="http://schemas.microsoft.com/office/drawing/2012/chart" uri="{02D57815-91ED-43cb-92C2-25804820EDAC}">
            <c15:filteredLineSeries>
              <c15:ser>
                <c:idx val="19"/>
                <c:order val="19"/>
                <c:tx>
                  <c:strRef>
                    <c:extLst>
                      <c:ext uri="{02D57815-91ED-43cb-92C2-25804820EDAC}">
                        <c15:formulaRef>
                          <c15:sqref>'41期グラフ用参照データ'!$Y$2</c15:sqref>
                        </c15:formulaRef>
                      </c:ext>
                    </c:extLst>
                    <c:strCache>
                      <c:ptCount val="1"/>
                      <c:pt idx="0">
                        <c:v>合計</c:v>
                      </c:pt>
                    </c:strCache>
                  </c:strRef>
                </c:tx>
                <c:spPr>
                  <a:ln w="28575" cap="rnd">
                    <a:solidFill>
                      <a:schemeClr val="accent2">
                        <a:lumMod val="80000"/>
                      </a:schemeClr>
                    </a:solidFill>
                    <a:round/>
                  </a:ln>
                  <a:effectLst/>
                </c:spPr>
                <c:marker>
                  <c:symbol val="none"/>
                </c:marker>
                <c:cat>
                  <c:multiLvlStrRef>
                    <c:extLst>
                      <c:ex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c:ext uri="{02D57815-91ED-43cb-92C2-25804820EDAC}">
                        <c15:formulaRef>
                          <c15:sqref>'41期グラフ用参照データ'!$Y$3:$Y$14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13-EDE6-4FD2-925C-C4C27FC9FE3F}"/>
                  </c:ext>
                </c:extLst>
              </c15:ser>
            </c15:filteredLineSeries>
          </c:ext>
        </c:extLst>
      </c:lineChart>
      <c:catAx>
        <c:axId val="9628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1201068368"/>
        <c:crosses val="autoZero"/>
        <c:auto val="1"/>
        <c:lblAlgn val="ctr"/>
        <c:lblOffset val="100"/>
        <c:noMultiLvlLbl val="0"/>
      </c:catAx>
      <c:valAx>
        <c:axId val="1201068368"/>
        <c:scaling>
          <c:orientation val="minMax"/>
          <c:max val="7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962814368"/>
        <c:crosses val="autoZero"/>
        <c:crossBetween val="between"/>
        <c:majorUnit val="5"/>
      </c:valAx>
      <c:valAx>
        <c:axId val="154239104"/>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1736600832"/>
        <c:crosses val="max"/>
        <c:crossBetween val="between"/>
      </c:valAx>
      <c:catAx>
        <c:axId val="1736600832"/>
        <c:scaling>
          <c:orientation val="minMax"/>
        </c:scaling>
        <c:delete val="1"/>
        <c:axPos val="b"/>
        <c:numFmt formatCode="General" sourceLinked="1"/>
        <c:majorTickMark val="out"/>
        <c:minorTickMark val="none"/>
        <c:tickLblPos val="nextTo"/>
        <c:crossAx val="154239104"/>
        <c:crosses val="autoZero"/>
        <c:auto val="1"/>
        <c:lblAlgn val="ctr"/>
        <c:lblOffset val="100"/>
        <c:noMultiLvlLbl val="0"/>
      </c:catAx>
      <c:spPr>
        <a:noFill/>
        <a:ln>
          <a:noFill/>
        </a:ln>
        <a:effectLst/>
      </c:spPr>
    </c:plotArea>
    <c:legend>
      <c:legendPos val="t"/>
      <c:layout>
        <c:manualLayout>
          <c:xMode val="edge"/>
          <c:yMode val="edge"/>
          <c:x val="0.12534415720431508"/>
          <c:y val="3.7772031397773458E-2"/>
          <c:w val="0.21069689297120275"/>
          <c:h val="4.5469201115113995E-2"/>
        </c:manualLayout>
      </c:layout>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16</xdr:row>
      <xdr:rowOff>138546</xdr:rowOff>
    </xdr:from>
    <xdr:to>
      <xdr:col>23</xdr:col>
      <xdr:colOff>588717</xdr:colOff>
      <xdr:row>21</xdr:row>
      <xdr:rowOff>148442</xdr:rowOff>
    </xdr:to>
    <xdr:sp macro="" textlink="">
      <xdr:nvSpPr>
        <xdr:cNvPr id="2" name="吹き出し: 四角形 1">
          <a:extLst>
            <a:ext uri="{FF2B5EF4-FFF2-40B4-BE49-F238E27FC236}">
              <a16:creationId xmlns:a16="http://schemas.microsoft.com/office/drawing/2014/main" id="{00000000-0008-0000-0000-000002000000}"/>
            </a:ext>
          </a:extLst>
        </xdr:cNvPr>
        <xdr:cNvSpPr/>
      </xdr:nvSpPr>
      <xdr:spPr>
        <a:xfrm>
          <a:off x="235527" y="3034146"/>
          <a:ext cx="6116681" cy="979714"/>
        </a:xfrm>
        <a:prstGeom prst="wedgeRectCallout">
          <a:avLst>
            <a:gd name="adj1" fmla="val 53935"/>
            <a:gd name="adj2" fmla="val -8551"/>
          </a:avLst>
        </a:prstGeom>
        <a:solidFill>
          <a:srgbClr val="FFC00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一般的・・・</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G</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,H</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見積計上</a:t>
          </a:r>
          <a:br>
            <a:rPr lang="ja-JP" altLang="en-US" sz="1200" b="1">
              <a:solidFill>
                <a:sysClr val="windowText" lastClr="000000"/>
              </a:solidFill>
              <a:latin typeface="Meiryo UI" panose="020B0604030504040204" pitchFamily="50" charset="-128"/>
              <a:ea typeface="Meiryo UI" panose="020B0604030504040204" pitchFamily="50" charset="-128"/>
            </a:rPr>
          </a:b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商品・・・</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,B</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,C</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,L</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,pos</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キャンペーン登録</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納品時単価差異</a:t>
          </a:r>
          <a:br>
            <a:rPr lang="ja-JP" altLang="en-US" sz="1200" b="1">
              <a:solidFill>
                <a:sysClr val="windowText" lastClr="000000"/>
              </a:solidFill>
              <a:latin typeface="Meiryo UI" panose="020B0604030504040204" pitchFamily="50" charset="-128"/>
              <a:ea typeface="Meiryo UI" panose="020B0604030504040204" pitchFamily="50" charset="-128"/>
            </a:rPr>
          </a:b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商取引・・・</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D</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,E</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,F</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,I</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,J</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,K</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endParaRPr kumimoji="1" lang="ja-JP" altLang="en-US" sz="1200" b="1">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27</xdr:col>
      <xdr:colOff>8964</xdr:colOff>
      <xdr:row>1</xdr:row>
      <xdr:rowOff>8965</xdr:rowOff>
    </xdr:from>
    <xdr:to>
      <xdr:col>43</xdr:col>
      <xdr:colOff>720436</xdr:colOff>
      <xdr:row>32</xdr:row>
      <xdr:rowOff>51226</xdr:rowOff>
    </xdr:to>
    <xdr:graphicFrame macro="">
      <xdr:nvGraphicFramePr>
        <xdr:cNvPr id="3" name="グラフ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1</xdr:row>
          <xdr:rowOff>22860</xdr:rowOff>
        </xdr:from>
        <xdr:to>
          <xdr:col>6</xdr:col>
          <xdr:colOff>2994660</xdr:colOff>
          <xdr:row>3</xdr:row>
          <xdr:rowOff>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100-0000014001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リスト作成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xdr:row>
          <xdr:rowOff>0</xdr:rowOff>
        </xdr:from>
        <xdr:to>
          <xdr:col>8</xdr:col>
          <xdr:colOff>2552700</xdr:colOff>
          <xdr:row>3</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500-0000010C01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2</xdr:row>
          <xdr:rowOff>22860</xdr:rowOff>
        </xdr:from>
        <xdr:to>
          <xdr:col>16</xdr:col>
          <xdr:colOff>0</xdr:colOff>
          <xdr:row>3</xdr:row>
          <xdr:rowOff>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500-000003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Meiryo UI"/>
                  <a:ea typeface="Meiryo UI"/>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2</xdr:row>
          <xdr:rowOff>22860</xdr:rowOff>
        </xdr:from>
        <xdr:to>
          <xdr:col>14</xdr:col>
          <xdr:colOff>1219200</xdr:colOff>
          <xdr:row>2</xdr:row>
          <xdr:rowOff>381000</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0500-000005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Meiryo UI"/>
                  <a:ea typeface="Meiryo UI"/>
                </a:rPr>
                <a:t>シートの書き出し</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2</xdr:row>
          <xdr:rowOff>15240</xdr:rowOff>
        </xdr:from>
        <xdr:to>
          <xdr:col>1</xdr:col>
          <xdr:colOff>883920</xdr:colOff>
          <xdr:row>3</xdr:row>
          <xdr:rowOff>251460</xdr:rowOff>
        </xdr:to>
        <xdr:sp macro="" textlink="">
          <xdr:nvSpPr>
            <xdr:cNvPr id="72713" name="Button 9" hidden="1">
              <a:extLst>
                <a:ext uri="{63B3BB69-23CF-44E3-9099-C40C66FF867C}">
                  <a14:compatExt spid="_x0000_s72713"/>
                </a:ext>
                <a:ext uri="{FF2B5EF4-FFF2-40B4-BE49-F238E27FC236}">
                  <a16:creationId xmlns:a16="http://schemas.microsoft.com/office/drawing/2014/main" id="{00000000-0008-0000-0600-000009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Meiryo UI"/>
                  <a:ea typeface="Meiryo UI"/>
                </a:rPr>
                <a:t>シート</a:t>
              </a:r>
            </a:p>
            <a:p>
              <a:pPr algn="ctr" rtl="0">
                <a:defRPr sz="1000"/>
              </a:pPr>
              <a:r>
                <a:rPr lang="ja-JP" altLang="en-US" sz="900" b="0" i="0" u="none" strike="noStrike" baseline="0">
                  <a:solidFill>
                    <a:srgbClr val="000000"/>
                  </a:solidFill>
                  <a:latin typeface="Meiryo UI"/>
                  <a:ea typeface="Meiryo UI"/>
                </a:rPr>
                <a:t>書き出し</a:t>
              </a:r>
            </a:p>
            <a:p>
              <a:pPr algn="ctr" rtl="0">
                <a:defRPr sz="1000"/>
              </a:pPr>
              <a:endParaRPr lang="ja-JP" altLang="en-US" sz="9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xdr:colOff>
          <xdr:row>1</xdr:row>
          <xdr:rowOff>19050</xdr:rowOff>
        </xdr:from>
        <xdr:to>
          <xdr:col>1</xdr:col>
          <xdr:colOff>895350</xdr:colOff>
          <xdr:row>1</xdr:row>
          <xdr:rowOff>516799</xdr:rowOff>
        </xdr:to>
        <xdr:sp macro="" textlink="">
          <xdr:nvSpPr>
            <xdr:cNvPr id="72714" name="Button 10" hidden="1">
              <a:extLst>
                <a:ext uri="{63B3BB69-23CF-44E3-9099-C40C66FF867C}">
                  <a14:compatExt spid="_x0000_s72714"/>
                </a:ext>
                <a:ext uri="{FF2B5EF4-FFF2-40B4-BE49-F238E27FC236}">
                  <a16:creationId xmlns:a16="http://schemas.microsoft.com/office/drawing/2014/main" id="{4CF9B29D-B896-448C-8962-0FD42E61105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Meiryo UI"/>
                  <a:ea typeface="Meiryo UI"/>
                </a:rPr>
                <a:t>一覧作成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xdr:colOff>
          <xdr:row>1</xdr:row>
          <xdr:rowOff>22860</xdr:rowOff>
        </xdr:from>
        <xdr:to>
          <xdr:col>5</xdr:col>
          <xdr:colOff>1043940</xdr:colOff>
          <xdr:row>1</xdr:row>
          <xdr:rowOff>320040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フィルタクリア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xdr:row>
          <xdr:rowOff>22860</xdr:rowOff>
        </xdr:from>
        <xdr:to>
          <xdr:col>4</xdr:col>
          <xdr:colOff>1043940</xdr:colOff>
          <xdr:row>2</xdr:row>
          <xdr:rowOff>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700-000002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書式罫線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xdr:row>
          <xdr:rowOff>22860</xdr:rowOff>
        </xdr:from>
        <xdr:to>
          <xdr:col>4</xdr:col>
          <xdr:colOff>19050</xdr:colOff>
          <xdr:row>1</xdr:row>
          <xdr:rowOff>320040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700-000004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CSVから集積へ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22860</xdr:rowOff>
        </xdr:from>
        <xdr:to>
          <xdr:col>8</xdr:col>
          <xdr:colOff>0</xdr:colOff>
          <xdr:row>3</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xdr:row>
          <xdr:rowOff>7620</xdr:rowOff>
        </xdr:from>
        <xdr:to>
          <xdr:col>11</xdr:col>
          <xdr:colOff>0</xdr:colOff>
          <xdr:row>1</xdr:row>
          <xdr:rowOff>320040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ID検索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1</xdr:row>
          <xdr:rowOff>22860</xdr:rowOff>
        </xdr:from>
        <xdr:to>
          <xdr:col>12</xdr:col>
          <xdr:colOff>723900</xdr:colOff>
          <xdr:row>1</xdr:row>
          <xdr:rowOff>323850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2</xdr:row>
          <xdr:rowOff>7620</xdr:rowOff>
        </xdr:from>
        <xdr:to>
          <xdr:col>12</xdr:col>
          <xdr:colOff>742950</xdr:colOff>
          <xdr:row>3</xdr:row>
          <xdr:rowOff>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22860</xdr:colOff>
          <xdr:row>1</xdr:row>
          <xdr:rowOff>22860</xdr:rowOff>
        </xdr:from>
        <xdr:to>
          <xdr:col>16</xdr:col>
          <xdr:colOff>739140</xdr:colOff>
          <xdr:row>2</xdr:row>
          <xdr:rowOff>323850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8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グループリスク管理</a:t>
              </a:r>
            </a:p>
            <a:p>
              <a:pPr algn="ctr" rtl="0">
                <a:defRPr sz="1000"/>
              </a:pPr>
              <a:r>
                <a:rPr lang="ja-JP" altLang="en-US" sz="1200" b="0" i="0" u="none" strike="noStrike" baseline="0">
                  <a:solidFill>
                    <a:srgbClr val="000000"/>
                  </a:solidFill>
                  <a:latin typeface="Meiryo UI"/>
                  <a:ea typeface="Meiryo UI"/>
                </a:rPr>
                <a:t>提出用へ転記</a:t>
              </a:r>
            </a:p>
          </xdr:txBody>
        </xdr:sp>
        <xdr:clientData fPrintsWithSheet="0"/>
      </xdr:twoCellAnchor>
    </mc:Choice>
    <mc:Fallback/>
  </mc:AlternateContent>
  <xdr:twoCellAnchor editAs="oneCell">
    <xdr:from>
      <xdr:col>11</xdr:col>
      <xdr:colOff>670680</xdr:colOff>
      <xdr:row>27</xdr:row>
      <xdr:rowOff>45695</xdr:rowOff>
    </xdr:from>
    <xdr:to>
      <xdr:col>16</xdr:col>
      <xdr:colOff>247736</xdr:colOff>
      <xdr:row>35</xdr:row>
      <xdr:rowOff>289314</xdr:rowOff>
    </xdr:to>
    <xdr:pic>
      <xdr:nvPicPr>
        <xdr:cNvPr id="8" name="図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73566" y="13293609"/>
          <a:ext cx="3234111" cy="3868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22833</xdr:colOff>
      <xdr:row>28</xdr:row>
      <xdr:rowOff>17146</xdr:rowOff>
    </xdr:from>
    <xdr:to>
      <xdr:col>11</xdr:col>
      <xdr:colOff>707989</xdr:colOff>
      <xdr:row>36</xdr:row>
      <xdr:rowOff>206734</xdr:rowOff>
    </xdr:to>
    <xdr:pic>
      <xdr:nvPicPr>
        <xdr:cNvPr id="9" name="図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38976" y="13569860"/>
          <a:ext cx="3498024" cy="3826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12393</xdr:colOff>
      <xdr:row>37</xdr:row>
      <xdr:rowOff>0</xdr:rowOff>
    </xdr:from>
    <xdr:to>
      <xdr:col>11</xdr:col>
      <xdr:colOff>670062</xdr:colOff>
      <xdr:row>40</xdr:row>
      <xdr:rowOff>495842</xdr:rowOff>
    </xdr:to>
    <xdr:pic>
      <xdr:nvPicPr>
        <xdr:cNvPr id="10" name="図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28536" y="17526000"/>
          <a:ext cx="3450127" cy="18130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2</xdr:row>
          <xdr:rowOff>22860</xdr:rowOff>
        </xdr:from>
        <xdr:to>
          <xdr:col>10</xdr:col>
          <xdr:colOff>742950</xdr:colOff>
          <xdr:row>2</xdr:row>
          <xdr:rowOff>320040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800-000007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WFID検索</a:t>
              </a:r>
            </a:p>
          </xdr:txBody>
        </xdr:sp>
        <xdr:clientData fPrintsWithSheet="0"/>
      </xdr:twoCellAnchor>
    </mc:Choice>
    <mc:Fallback/>
  </mc:AlternateContent>
  <xdr:twoCellAnchor>
    <xdr:from>
      <xdr:col>7</xdr:col>
      <xdr:colOff>21769</xdr:colOff>
      <xdr:row>4</xdr:row>
      <xdr:rowOff>10886</xdr:rowOff>
    </xdr:from>
    <xdr:to>
      <xdr:col>11</xdr:col>
      <xdr:colOff>-1</xdr:colOff>
      <xdr:row>5</xdr:row>
      <xdr:rowOff>304800</xdr:rowOff>
    </xdr:to>
    <xdr:sp macro="" textlink="">
      <xdr:nvSpPr>
        <xdr:cNvPr id="2" name="正方形/長方形 1">
          <a:extLst>
            <a:ext uri="{FF2B5EF4-FFF2-40B4-BE49-F238E27FC236}">
              <a16:creationId xmlns:a16="http://schemas.microsoft.com/office/drawing/2014/main" id="{00000000-0008-0000-0800-000002000000}"/>
            </a:ext>
          </a:extLst>
        </xdr:cNvPr>
        <xdr:cNvSpPr/>
      </xdr:nvSpPr>
      <xdr:spPr>
        <a:xfrm>
          <a:off x="8360226" y="1012372"/>
          <a:ext cx="3842659" cy="794657"/>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solidFill>
                <a:srgbClr val="FFF3F3"/>
              </a:solidFill>
              <a:latin typeface="Meiryo UI" panose="020B0604030504040204" pitchFamily="50" charset="-128"/>
              <a:ea typeface="Meiryo UI" panose="020B0604030504040204" pitchFamily="50" charset="-128"/>
            </a:rPr>
            <a:t>■</a:t>
          </a:r>
          <a:r>
            <a:rPr kumimoji="1" lang="ja-JP" altLang="ja-JP" sz="1100">
              <a:solidFill>
                <a:schemeClr val="dk1"/>
              </a:solidFill>
              <a:effectLst/>
              <a:latin typeface="Meiryo UI" panose="020B0604030504040204" pitchFamily="50" charset="-128"/>
              <a:ea typeface="Meiryo UI" panose="020B0604030504040204" pitchFamily="50" charset="-128"/>
              <a:cs typeface="+mn-cs"/>
            </a:rPr>
            <a:t>・・・</a:t>
          </a:r>
          <a:r>
            <a:rPr kumimoji="1" lang="ja-JP" altLang="en-US" sz="1100">
              <a:solidFill>
                <a:sysClr val="windowText" lastClr="000000"/>
              </a:solidFill>
              <a:latin typeface="Meiryo UI" panose="020B0604030504040204" pitchFamily="50" charset="-128"/>
              <a:ea typeface="Meiryo UI" panose="020B0604030504040204" pitchFamily="50" charset="-128"/>
            </a:rPr>
            <a:t>月次</a:t>
          </a:r>
          <a:r>
            <a:rPr kumimoji="1" lang="ja-JP" altLang="en-US" sz="1100">
              <a:latin typeface="Meiryo UI" panose="020B0604030504040204" pitchFamily="50" charset="-128"/>
              <a:ea typeface="Meiryo UI" panose="020B0604030504040204" pitchFamily="50" charset="-128"/>
            </a:rPr>
            <a:t>リスク管理報告書提出項目</a:t>
          </a:r>
          <a:endParaRPr kumimoji="1" lang="en-US" altLang="ja-JP" sz="1100">
            <a:latin typeface="Meiryo UI" panose="020B0604030504040204" pitchFamily="50" charset="-128"/>
            <a:ea typeface="Meiryo UI" panose="020B0604030504040204" pitchFamily="50" charset="-128"/>
          </a:endParaRPr>
        </a:p>
        <a:p>
          <a:pPr algn="l"/>
          <a:r>
            <a:rPr kumimoji="1" lang="ja-JP" altLang="en-US" sz="1100">
              <a:latin typeface="Meiryo UI" panose="020B0604030504040204" pitchFamily="50" charset="-128"/>
              <a:ea typeface="Meiryo UI" panose="020B0604030504040204" pitchFamily="50" charset="-128"/>
            </a:rPr>
            <a:t>■・・・分析に必要な項目</a:t>
          </a:r>
          <a:endParaRPr kumimoji="1" lang="en-US" altLang="ja-JP" sz="1100">
            <a:latin typeface="Meiryo UI" panose="020B0604030504040204" pitchFamily="50" charset="-128"/>
            <a:ea typeface="Meiryo UI" panose="020B0604030504040204" pitchFamily="50" charset="-128"/>
          </a:endParaRPr>
        </a:p>
        <a:p>
          <a:pPr algn="l"/>
          <a:r>
            <a:rPr kumimoji="1" lang="ja-JP" altLang="en-US" sz="1100">
              <a:solidFill>
                <a:srgbClr val="FF0000"/>
              </a:solidFill>
              <a:latin typeface="Meiryo UI" panose="020B0604030504040204" pitchFamily="50" charset="-128"/>
              <a:ea typeface="Meiryo UI" panose="020B0604030504040204" pitchFamily="50" charset="-128"/>
            </a:rPr>
            <a:t>赤二重線</a:t>
          </a:r>
          <a:r>
            <a:rPr kumimoji="1" lang="ja-JP" altLang="en-US" sz="1100">
              <a:latin typeface="Meiryo UI" panose="020B0604030504040204" pitchFamily="50" charset="-128"/>
              <a:ea typeface="Meiryo UI" panose="020B0604030504040204" pitchFamily="50" charset="-128"/>
            </a:rPr>
            <a:t>・・・サポート業務作業項目</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1201062/2020&#12522;&#12473;&#12463;&#31649;&#29702;&#22577;&#21578;/202012&#12522;&#12473;&#12463;&#31649;&#29702;&#22577;&#21578;/&#12304;&#36578;&#35352;CSV&#23550;&#24540;&#12305;&#12522;&#12473;&#12463;&#31649;&#29702;&#22577;&#21578;&#26360;11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11201062/&#12304;&#20316;&#26989;&#12305;&#12452;&#12531;&#12471;&#12487;&#12531;&#12488;&#31649;&#29702;/layout_s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スト"/>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スト"/>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7EFCBB-F9AD-461C-B58C-6AFD81EF0FF0}" name="テーブル1" displayName="テーブル1" ref="B6:K8" totalsRowShown="0" headerRowDxfId="26" dataDxfId="24" headerRowBorderDxfId="25" tableBorderDxfId="23" totalsRowBorderDxfId="22" headerRowCellStyle="標準 7">
  <autoFilter ref="B6:K8" xr:uid="{C033E585-E411-47B0-ADCD-1B0C7BB2C3FA}"/>
  <tableColumns count="10">
    <tableColumn id="1" xr3:uid="{3933FA17-0C22-43CE-97BE-03DDB6114F74}" name="発生日" dataDxfId="9" dataCellStyle="標準 7"/>
    <tableColumn id="8" xr3:uid="{DB5953A5-C5B6-4CA5-B294-DB15F9CEA9AC}" name="復旧作業完了フラグ" dataDxfId="8" dataCellStyle="標準 7"/>
    <tableColumn id="2" xr3:uid="{CE204417-EFF1-487A-89A2-2704827DF863}" name="取引先様名" dataDxfId="7" dataCellStyle="標準 7"/>
    <tableColumn id="3" xr3:uid="{3BDDD2CE-E045-48B6-B908-F7964FE29F57}" name="会計に影響を与えた金額" dataDxfId="6" dataCellStyle="標準 7"/>
    <tableColumn id="4" xr3:uid="{BCCC29B4-166C-4724-BE64-AE098CAAD1BC}" name="リベート型" dataDxfId="5" dataCellStyle="標準 7"/>
    <tableColumn id="5" xr3:uid="{F8C51147-BB42-4477-A3C9-6069AADD1A4F}" name="案件タイトル" dataDxfId="4" dataCellStyle="標準 7"/>
    <tableColumn id="9" xr3:uid="{31804AC7-005D-4096-A5DE-ACC1B54BA7C2}" name="発生場所" dataDxfId="3" dataCellStyle="標準 7"/>
    <tableColumn id="6" xr3:uid="{D72842FF-0CA8-41FE-942A-8BA5669F3C6D}" name="実施した対応①" dataDxfId="2" dataCellStyle="標準 7"/>
    <tableColumn id="7" xr3:uid="{05BADF60-51B3-48BC-88AD-1ACB90D689BE}" name="実施した対応②" dataDxfId="0" dataCellStyle="標準 7"/>
    <tableColumn id="10" xr3:uid="{984A67BA-F88A-4F34-A366-4783F439F728}" name="実施した対応③" dataDxfId="1" dataCellStyle="標準 7"/>
  </tableColumns>
  <tableStyleInfo name="TableStyleLight16"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444A-0B7C-446A-AADE-2FF31109596D}">
  <sheetPr codeName="Sheet18"/>
  <dimension ref="B1:AE56"/>
  <sheetViews>
    <sheetView zoomScale="55" zoomScaleNormal="55" workbookViewId="0">
      <selection activeCell="E4" sqref="E4"/>
    </sheetView>
  </sheetViews>
  <sheetFormatPr defaultRowHeight="15" x14ac:dyDescent="0.3"/>
  <cols>
    <col min="1" max="1" width="2.81640625" customWidth="1"/>
    <col min="2" max="2" width="15.08984375" bestFit="1" customWidth="1"/>
    <col min="3" max="4" width="6.81640625" customWidth="1"/>
    <col min="5" max="21" width="8.90625" customWidth="1"/>
    <col min="22" max="24" width="20.6328125" customWidth="1"/>
    <col min="25" max="25" width="8.81640625" customWidth="1"/>
    <col min="26" max="26" width="20.6328125" customWidth="1"/>
    <col min="27" max="31" width="8.81640625" customWidth="1"/>
  </cols>
  <sheetData>
    <row r="1" spans="2:31" ht="30" customHeight="1" x14ac:dyDescent="0.3">
      <c r="B1" s="426" t="s">
        <v>657</v>
      </c>
      <c r="C1" s="426"/>
      <c r="D1" s="426"/>
      <c r="E1" s="426"/>
      <c r="F1" s="426"/>
      <c r="G1" s="426"/>
      <c r="H1" s="426"/>
      <c r="I1" s="426"/>
      <c r="J1" s="426"/>
      <c r="K1" s="426"/>
      <c r="L1" s="426"/>
      <c r="M1" s="426"/>
      <c r="N1" s="426"/>
      <c r="O1" s="426"/>
      <c r="P1" s="426"/>
      <c r="Q1" s="426"/>
      <c r="R1" s="426"/>
      <c r="S1" s="426"/>
      <c r="T1" s="426"/>
      <c r="U1" s="426"/>
      <c r="V1" s="426"/>
      <c r="W1" s="426"/>
      <c r="X1" s="278" t="s">
        <v>118</v>
      </c>
      <c r="Y1" s="279"/>
      <c r="Z1" s="253"/>
      <c r="AA1" s="253"/>
      <c r="AB1" s="253"/>
      <c r="AC1" s="253"/>
      <c r="AD1" s="253"/>
      <c r="AE1" s="253"/>
    </row>
    <row r="2" spans="2:31" ht="25.2" customHeight="1" x14ac:dyDescent="0.3">
      <c r="B2" s="427"/>
      <c r="C2" s="428"/>
      <c r="D2" s="429"/>
      <c r="E2" s="254" t="s">
        <v>238</v>
      </c>
      <c r="F2" s="255" t="s">
        <v>239</v>
      </c>
      <c r="G2" s="256" t="s">
        <v>240</v>
      </c>
      <c r="H2" s="257" t="s">
        <v>241</v>
      </c>
      <c r="I2" s="257" t="s">
        <v>242</v>
      </c>
      <c r="J2" s="257" t="s">
        <v>243</v>
      </c>
      <c r="K2" s="258" t="s">
        <v>245</v>
      </c>
      <c r="L2" s="259" t="s">
        <v>246</v>
      </c>
      <c r="M2" s="260" t="s">
        <v>247</v>
      </c>
      <c r="N2" s="257" t="s">
        <v>248</v>
      </c>
      <c r="O2" s="261" t="s">
        <v>249</v>
      </c>
      <c r="P2" s="262" t="s">
        <v>533</v>
      </c>
      <c r="Q2" s="262" t="s">
        <v>556</v>
      </c>
      <c r="R2" s="263" t="s">
        <v>569</v>
      </c>
      <c r="S2" s="263" t="s">
        <v>690</v>
      </c>
      <c r="T2" s="263" t="s">
        <v>144</v>
      </c>
      <c r="U2" s="263" t="s">
        <v>119</v>
      </c>
      <c r="V2" s="280" t="s">
        <v>585</v>
      </c>
      <c r="W2" s="264" t="s">
        <v>244</v>
      </c>
      <c r="X2" s="281" t="s">
        <v>564</v>
      </c>
      <c r="Y2" s="277" t="s">
        <v>565</v>
      </c>
      <c r="Z2" s="265" t="s">
        <v>439</v>
      </c>
      <c r="AA2" s="266"/>
      <c r="AB2" s="266"/>
      <c r="AC2" s="266"/>
      <c r="AD2" s="266"/>
      <c r="AE2" s="266"/>
    </row>
    <row r="3" spans="2:31" s="64" customFormat="1" ht="19.95" customHeight="1" x14ac:dyDescent="0.3">
      <c r="B3" s="265" t="s">
        <v>649</v>
      </c>
      <c r="C3" s="267">
        <v>44095</v>
      </c>
      <c r="D3" s="267">
        <v>44124</v>
      </c>
      <c r="E3" s="268">
        <f>COUNTIFS(集積用!$I:$I,E$2,集積用!$E:$E,"&gt;="&amp;$C3,集積用!$E:$E,"&lt;="&amp;$D3)</f>
        <v>0</v>
      </c>
      <c r="F3" s="268">
        <f>COUNTIFS(集積用!$I:$I,F$2,集積用!$E:$E,"&gt;="&amp;$C3,集積用!$E:$E,"&lt;="&amp;$D3)</f>
        <v>0</v>
      </c>
      <c r="G3" s="268">
        <f>COUNTIFS(集積用!$I:$I,G$2,集積用!$E:$E,"&gt;="&amp;$C3,集積用!$E:$E,"&lt;="&amp;$D3)</f>
        <v>0</v>
      </c>
      <c r="H3" s="268">
        <f>COUNTIFS(集積用!$I:$I,H$2,集積用!$E:$E,"&gt;="&amp;$C3,集積用!$E:$E,"&lt;="&amp;$D3)</f>
        <v>0</v>
      </c>
      <c r="I3" s="268">
        <f>COUNTIFS(集積用!$I:$I,I$2,集積用!$E:$E,"&gt;="&amp;$C3,集積用!$E:$E,"&lt;="&amp;$D3)</f>
        <v>0</v>
      </c>
      <c r="J3" s="268">
        <f>COUNTIFS(集積用!$I:$I,J$2,集積用!$E:$E,"&gt;="&amp;$C3,集積用!$E:$E,"&lt;="&amp;$D3)</f>
        <v>0</v>
      </c>
      <c r="K3" s="268">
        <f>COUNTIFS(集積用!$I:$I,K$2,集積用!$E:$E,"&gt;="&amp;$C3,集積用!$E:$E,"&lt;="&amp;$D3)</f>
        <v>0</v>
      </c>
      <c r="L3" s="268">
        <f>COUNTIFS(集積用!$I:$I,L$2,集積用!$E:$E,"&gt;="&amp;$C3,集積用!$E:$E,"&lt;="&amp;$D3)</f>
        <v>0</v>
      </c>
      <c r="M3" s="268">
        <f>COUNTIFS(集積用!$I:$I,M$2,集積用!$E:$E,"&gt;="&amp;$C3,集積用!$E:$E,"&lt;="&amp;$D3)</f>
        <v>0</v>
      </c>
      <c r="N3" s="268">
        <f>COUNTIFS(集積用!$I:$I,N$2,集積用!$E:$E,"&gt;="&amp;$C3,集積用!$E:$E,"&lt;="&amp;$D3)</f>
        <v>0</v>
      </c>
      <c r="O3" s="268">
        <f>COUNTIFS(集積用!$I:$I,O$2,集積用!$E:$E,"&gt;="&amp;$C3,集積用!$E:$E,"&lt;="&amp;$D3)</f>
        <v>0</v>
      </c>
      <c r="P3" s="268">
        <f>COUNTIFS(集積用!$I:$I,P$2,集積用!$E:$E,"&gt;="&amp;$C3,集積用!$E:$E,"&lt;="&amp;$D3)</f>
        <v>0</v>
      </c>
      <c r="Q3" s="268">
        <f>COUNTIFS(集積用!$I:$I,Q$2,集積用!$E:$E,"&gt;="&amp;$C3,集積用!$E:$E,"&lt;="&amp;$D3)</f>
        <v>0</v>
      </c>
      <c r="R3" s="268">
        <f>COUNTIFS(集積用!$I:$I,R$2,集積用!$E:$E,"&gt;="&amp;$C3,集積用!$E:$E,"&lt;="&amp;$D3)</f>
        <v>0</v>
      </c>
      <c r="S3" s="268">
        <f>COUNTIFS(集積用!$I:$I,S$2,集積用!$E:$E,"&gt;="&amp;$C3,集積用!$E:$E,"&lt;="&amp;$D3)</f>
        <v>0</v>
      </c>
      <c r="T3" s="268">
        <f>COUNTIFS(集積用!$I:$I,T$2,集積用!$E:$E,"&gt;="&amp;$C3,集積用!$E:$E,"&lt;="&amp;$D3)</f>
        <v>0</v>
      </c>
      <c r="U3" s="268">
        <f>COUNTIFS(集積用!$I:$I,U$2,集積用!$E:$E,"&gt;="&amp;$C3,集積用!$E:$E,"&lt;="&amp;$D3)</f>
        <v>0</v>
      </c>
      <c r="V3" s="268">
        <f t="shared" ref="V3:V9" si="0">SUM(E3:U3)</f>
        <v>0</v>
      </c>
      <c r="W3" s="268">
        <f>COUNTIFS(集積用!$I:$I,W$2,集積用!$E:$E,"&gt;="&amp;$C3,集積用!$E:$E,"&lt;="&amp;$D3)</f>
        <v>0</v>
      </c>
      <c r="X3" s="269">
        <f>SUMIFS(集積用!$S:$S,集積用!$K:$K,"&gt;="&amp;$C3,集積用!$K:$K,"&lt;="&amp;$D3,集積用!$H:$H,$X$1)</f>
        <v>0</v>
      </c>
      <c r="Y3" s="268">
        <f t="shared" ref="Y3:Y12" si="1">SUM(V3:W3)</f>
        <v>0</v>
      </c>
      <c r="Z3" s="268">
        <f>COUNTIFS(集積用!$T:$T,Z$2,集積用!$H:$H,$X$1,集積用!$K:$K,"&gt;="&amp;$C3,集積用!$K:$K,"&lt;="&amp;$D3)</f>
        <v>0</v>
      </c>
      <c r="AA3" s="227"/>
      <c r="AB3" s="227"/>
      <c r="AC3" s="227"/>
      <c r="AD3" s="227"/>
      <c r="AE3" s="227"/>
    </row>
    <row r="4" spans="2:31" ht="19.95" customHeight="1" x14ac:dyDescent="0.3">
      <c r="B4" s="265" t="s">
        <v>650</v>
      </c>
      <c r="C4" s="267">
        <v>44125</v>
      </c>
      <c r="D4" s="267">
        <v>44155</v>
      </c>
      <c r="E4" s="268">
        <f>COUNTIFS(集積用!$I:$I,E$2,集積用!$E:$E,"&gt;="&amp;$C4,集積用!$E:$E,"&lt;="&amp;$D4)</f>
        <v>0</v>
      </c>
      <c r="F4" s="268">
        <f>COUNTIFS(集積用!$I:$I,F$2,集積用!$E:$E,"&gt;="&amp;$C4,集積用!$E:$E,"&lt;="&amp;$D4)</f>
        <v>0</v>
      </c>
      <c r="G4" s="268">
        <f>COUNTIFS(集積用!$I:$I,G$2,集積用!$E:$E,"&gt;="&amp;$C4,集積用!$E:$E,"&lt;="&amp;$D4)</f>
        <v>0</v>
      </c>
      <c r="H4" s="268">
        <f>COUNTIFS(集積用!$I:$I,H$2,集積用!$E:$E,"&gt;="&amp;$C4,集積用!$E:$E,"&lt;="&amp;$D4)</f>
        <v>0</v>
      </c>
      <c r="I4" s="268">
        <f>COUNTIFS(集積用!$I:$I,I$2,集積用!$E:$E,"&gt;="&amp;$C4,集積用!$E:$E,"&lt;="&amp;$D4)</f>
        <v>0</v>
      </c>
      <c r="J4" s="268">
        <f>COUNTIFS(集積用!$I:$I,J$2,集積用!$E:$E,"&gt;="&amp;$C4,集積用!$E:$E,"&lt;="&amp;$D4)</f>
        <v>0</v>
      </c>
      <c r="K4" s="268">
        <f>COUNTIFS(集積用!$I:$I,K$2,集積用!$E:$E,"&gt;="&amp;$C4,集積用!$E:$E,"&lt;="&amp;$D4)</f>
        <v>0</v>
      </c>
      <c r="L4" s="268">
        <f>COUNTIFS(集積用!$I:$I,L$2,集積用!$E:$E,"&gt;="&amp;$C4,集積用!$E:$E,"&lt;="&amp;$D4)</f>
        <v>0</v>
      </c>
      <c r="M4" s="268">
        <f>COUNTIFS(集積用!$I:$I,M$2,集積用!$E:$E,"&gt;="&amp;$C4,集積用!$E:$E,"&lt;="&amp;$D4)</f>
        <v>0</v>
      </c>
      <c r="N4" s="268">
        <f>COUNTIFS(集積用!$I:$I,N$2,集積用!$E:$E,"&gt;="&amp;$C4,集積用!$E:$E,"&lt;="&amp;$D4)</f>
        <v>0</v>
      </c>
      <c r="O4" s="268">
        <f>COUNTIFS(集積用!$I:$I,O$2,集積用!$E:$E,"&gt;="&amp;$C4,集積用!$E:$E,"&lt;="&amp;$D4)</f>
        <v>0</v>
      </c>
      <c r="P4" s="268">
        <f>COUNTIFS(集積用!$I:$I,P$2,集積用!$E:$E,"&gt;="&amp;$C4,集積用!$E:$E,"&lt;="&amp;$D4)</f>
        <v>0</v>
      </c>
      <c r="Q4" s="268">
        <f>COUNTIFS(集積用!$I:$I,Q$2,集積用!$E:$E,"&gt;="&amp;$C4,集積用!$E:$E,"&lt;="&amp;$D4)</f>
        <v>0</v>
      </c>
      <c r="R4" s="268">
        <f>COUNTIFS(集積用!$I:$I,R$2,集積用!$E:$E,"&gt;="&amp;$C4,集積用!$E:$E,"&lt;="&amp;$D4)</f>
        <v>0</v>
      </c>
      <c r="S4" s="268">
        <f>COUNTIFS(集積用!$I:$I,S$2,集積用!$E:$E,"&gt;="&amp;$C4,集積用!$E:$E,"&lt;="&amp;$D4)</f>
        <v>0</v>
      </c>
      <c r="T4" s="268">
        <f>COUNTIFS(集積用!$I:$I,T$2,集積用!$E:$E,"&gt;="&amp;$C4,集積用!$E:$E,"&lt;="&amp;$D4)</f>
        <v>0</v>
      </c>
      <c r="U4" s="268">
        <f>COUNTIFS(集積用!$I:$I,U$2,集積用!$E:$E,"&gt;="&amp;$C4,集積用!$E:$E,"&lt;="&amp;$D4)</f>
        <v>0</v>
      </c>
      <c r="V4" s="268">
        <f t="shared" si="0"/>
        <v>0</v>
      </c>
      <c r="W4" s="268">
        <f>COUNTIFS(集積用!$I:$I,W$2,集積用!$E:$E,"&gt;="&amp;$C4,集積用!$E:$E,"&lt;="&amp;$D4)</f>
        <v>0</v>
      </c>
      <c r="X4" s="269">
        <f>SUMIFS(集積用!$S:$S,集積用!$K:$K,"&gt;="&amp;$C4,集積用!$K:$K,"&lt;="&amp;$D4,集積用!$H:$H,$X$1)</f>
        <v>0</v>
      </c>
      <c r="Y4" s="268">
        <f t="shared" si="1"/>
        <v>0</v>
      </c>
      <c r="Z4" s="268">
        <f>COUNTIFS(集積用!$T:$T,Z$2,集積用!$H:$H,$X$1,集積用!$K:$K,"&gt;="&amp;$C4,集積用!$K:$K,"&lt;="&amp;$D4)</f>
        <v>0</v>
      </c>
      <c r="AA4" s="227"/>
      <c r="AB4" s="227"/>
      <c r="AC4" s="227"/>
      <c r="AD4" s="227"/>
      <c r="AE4" s="227"/>
    </row>
    <row r="5" spans="2:31" ht="19.95" customHeight="1" x14ac:dyDescent="0.3">
      <c r="B5" s="265" t="s">
        <v>651</v>
      </c>
      <c r="C5" s="267">
        <v>44156</v>
      </c>
      <c r="D5" s="267">
        <v>44185</v>
      </c>
      <c r="E5" s="268">
        <f>COUNTIFS(集積用!$I:$I,E$2,集積用!$E:$E,"&gt;="&amp;$C5,集積用!$E:$E,"&lt;="&amp;$D5)</f>
        <v>0</v>
      </c>
      <c r="F5" s="268">
        <f>COUNTIFS(集積用!$I:$I,F$2,集積用!$E:$E,"&gt;="&amp;$C5,集積用!$E:$E,"&lt;="&amp;$D5)</f>
        <v>0</v>
      </c>
      <c r="G5" s="268">
        <f>COUNTIFS(集積用!$I:$I,G$2,集積用!$E:$E,"&gt;="&amp;$C5,集積用!$E:$E,"&lt;="&amp;$D5)</f>
        <v>0</v>
      </c>
      <c r="H5" s="268">
        <f>COUNTIFS(集積用!$I:$I,H$2,集積用!$E:$E,"&gt;="&amp;$C5,集積用!$E:$E,"&lt;="&amp;$D5)</f>
        <v>0</v>
      </c>
      <c r="I5" s="268">
        <f>COUNTIFS(集積用!$I:$I,I$2,集積用!$E:$E,"&gt;="&amp;$C5,集積用!$E:$E,"&lt;="&amp;$D5)</f>
        <v>0</v>
      </c>
      <c r="J5" s="268">
        <f>COUNTIFS(集積用!$I:$I,J$2,集積用!$E:$E,"&gt;="&amp;$C5,集積用!$E:$E,"&lt;="&amp;$D5)</f>
        <v>0</v>
      </c>
      <c r="K5" s="268">
        <f>COUNTIFS(集積用!$I:$I,K$2,集積用!$E:$E,"&gt;="&amp;$C5,集積用!$E:$E,"&lt;="&amp;$D5)</f>
        <v>0</v>
      </c>
      <c r="L5" s="268">
        <f>COUNTIFS(集積用!$I:$I,L$2,集積用!$E:$E,"&gt;="&amp;$C5,集積用!$E:$E,"&lt;="&amp;$D5)</f>
        <v>0</v>
      </c>
      <c r="M5" s="268">
        <f>COUNTIFS(集積用!$I:$I,M$2,集積用!$E:$E,"&gt;="&amp;$C5,集積用!$E:$E,"&lt;="&amp;$D5)</f>
        <v>0</v>
      </c>
      <c r="N5" s="268">
        <f>COUNTIFS(集積用!$I:$I,N$2,集積用!$E:$E,"&gt;="&amp;$C5,集積用!$E:$E,"&lt;="&amp;$D5)</f>
        <v>0</v>
      </c>
      <c r="O5" s="268">
        <f>COUNTIFS(集積用!$I:$I,O$2,集積用!$E:$E,"&gt;="&amp;$C5,集積用!$E:$E,"&lt;="&amp;$D5)</f>
        <v>0</v>
      </c>
      <c r="P5" s="268">
        <f>COUNTIFS(集積用!$I:$I,P$2,集積用!$E:$E,"&gt;="&amp;$C5,集積用!$E:$E,"&lt;="&amp;$D5)</f>
        <v>0</v>
      </c>
      <c r="Q5" s="268">
        <f>COUNTIFS(集積用!$I:$I,Q$2,集積用!$E:$E,"&gt;="&amp;$C5,集積用!$E:$E,"&lt;="&amp;$D5)</f>
        <v>0</v>
      </c>
      <c r="R5" s="268">
        <f>COUNTIFS(集積用!$I:$I,R$2,集積用!$E:$E,"&gt;="&amp;$C5,集積用!$E:$E,"&lt;="&amp;$D5)</f>
        <v>0</v>
      </c>
      <c r="S5" s="268">
        <f>COUNTIFS(集積用!$I:$I,S$2,集積用!$E:$E,"&gt;="&amp;$C5,集積用!$E:$E,"&lt;="&amp;$D5)</f>
        <v>0</v>
      </c>
      <c r="T5" s="268">
        <f>COUNTIFS(集積用!$I:$I,T$2,集積用!$E:$E,"&gt;="&amp;$C5,集積用!$E:$E,"&lt;="&amp;$D5)</f>
        <v>0</v>
      </c>
      <c r="U5" s="268">
        <f>COUNTIFS(集積用!$I:$I,U$2,集積用!$E:$E,"&gt;="&amp;$C5,集積用!$E:$E,"&lt;="&amp;$D5)</f>
        <v>0</v>
      </c>
      <c r="V5" s="268">
        <f t="shared" si="0"/>
        <v>0</v>
      </c>
      <c r="W5" s="268">
        <f>COUNTIFS(集積用!$I:$I,W$2,集積用!$E:$E,"&gt;="&amp;$C5,集積用!$E:$E,"&lt;="&amp;$D5)</f>
        <v>0</v>
      </c>
      <c r="X5" s="269">
        <f>SUMIFS(集積用!$S:$S,集積用!$K:$K,"&gt;="&amp;$C5,集積用!$K:$K,"&lt;="&amp;$D5,集積用!$H:$H,$X$1)</f>
        <v>0</v>
      </c>
      <c r="Y5" s="268">
        <f t="shared" si="1"/>
        <v>0</v>
      </c>
      <c r="Z5" s="268">
        <f>COUNTIFS(集積用!$T:$T,Z$2,集積用!$H:$H,$X$1,集積用!$K:$K,"&gt;="&amp;$C5,集積用!$K:$K,"&lt;="&amp;$D5)</f>
        <v>0</v>
      </c>
      <c r="AA5" s="227"/>
      <c r="AB5" s="227"/>
      <c r="AC5" s="227"/>
      <c r="AD5" s="227"/>
      <c r="AE5" s="227"/>
    </row>
    <row r="6" spans="2:31" ht="19.95" customHeight="1" x14ac:dyDescent="0.3">
      <c r="B6" s="265" t="s">
        <v>652</v>
      </c>
      <c r="C6" s="267">
        <v>44186</v>
      </c>
      <c r="D6" s="267">
        <v>44216</v>
      </c>
      <c r="E6" s="268">
        <f>COUNTIFS(集積用!$I:$I,E$2,集積用!$E:$E,"&gt;="&amp;$C6,集積用!$E:$E,"&lt;="&amp;$D6)</f>
        <v>0</v>
      </c>
      <c r="F6" s="268">
        <f>COUNTIFS(集積用!$I:$I,F$2,集積用!$E:$E,"&gt;="&amp;$C6,集積用!$E:$E,"&lt;="&amp;$D6)</f>
        <v>0</v>
      </c>
      <c r="G6" s="268">
        <f>COUNTIFS(集積用!$I:$I,G$2,集積用!$E:$E,"&gt;="&amp;$C6,集積用!$E:$E,"&lt;="&amp;$D6)</f>
        <v>0</v>
      </c>
      <c r="H6" s="268">
        <f>COUNTIFS(集積用!$I:$I,H$2,集積用!$E:$E,"&gt;="&amp;$C6,集積用!$E:$E,"&lt;="&amp;$D6)</f>
        <v>0</v>
      </c>
      <c r="I6" s="268">
        <f>COUNTIFS(集積用!$I:$I,I$2,集積用!$E:$E,"&gt;="&amp;$C6,集積用!$E:$E,"&lt;="&amp;$D6)</f>
        <v>0</v>
      </c>
      <c r="J6" s="268">
        <f>COUNTIFS(集積用!$I:$I,J$2,集積用!$E:$E,"&gt;="&amp;$C6,集積用!$E:$E,"&lt;="&amp;$D6)</f>
        <v>0</v>
      </c>
      <c r="K6" s="268">
        <f>COUNTIFS(集積用!$I:$I,K$2,集積用!$E:$E,"&gt;="&amp;$C6,集積用!$E:$E,"&lt;="&amp;$D6)</f>
        <v>0</v>
      </c>
      <c r="L6" s="268">
        <f>COUNTIFS(集積用!$I:$I,L$2,集積用!$E:$E,"&gt;="&amp;$C6,集積用!$E:$E,"&lt;="&amp;$D6)</f>
        <v>0</v>
      </c>
      <c r="M6" s="268">
        <f>COUNTIFS(集積用!$I:$I,M$2,集積用!$E:$E,"&gt;="&amp;$C6,集積用!$E:$E,"&lt;="&amp;$D6)</f>
        <v>0</v>
      </c>
      <c r="N6" s="268">
        <f>COUNTIFS(集積用!$I:$I,N$2,集積用!$E:$E,"&gt;="&amp;$C6,集積用!$E:$E,"&lt;="&amp;$D6)</f>
        <v>0</v>
      </c>
      <c r="O6" s="268">
        <f>COUNTIFS(集積用!$I:$I,O$2,集積用!$E:$E,"&gt;="&amp;$C6,集積用!$E:$E,"&lt;="&amp;$D6)</f>
        <v>0</v>
      </c>
      <c r="P6" s="268">
        <f>COUNTIFS(集積用!$I:$I,P$2,集積用!$E:$E,"&gt;="&amp;$C6,集積用!$E:$E,"&lt;="&amp;$D6)</f>
        <v>0</v>
      </c>
      <c r="Q6" s="268">
        <f>COUNTIFS(集積用!$I:$I,Q$2,集積用!$E:$E,"&gt;="&amp;$C6,集積用!$E:$E,"&lt;="&amp;$D6)</f>
        <v>0</v>
      </c>
      <c r="R6" s="268">
        <f>COUNTIFS(集積用!$I:$I,R$2,集積用!$E:$E,"&gt;="&amp;$C6,集積用!$E:$E,"&lt;="&amp;$D6)</f>
        <v>0</v>
      </c>
      <c r="S6" s="268">
        <f>COUNTIFS(集積用!$I:$I,S$2,集積用!$E:$E,"&gt;="&amp;$C6,集積用!$E:$E,"&lt;="&amp;$D6)</f>
        <v>0</v>
      </c>
      <c r="T6" s="268">
        <f>COUNTIFS(集積用!$I:$I,T$2,集積用!$E:$E,"&gt;="&amp;$C6,集積用!$E:$E,"&lt;="&amp;$D6)</f>
        <v>0</v>
      </c>
      <c r="U6" s="268">
        <f>COUNTIFS(集積用!$I:$I,U$2,集積用!$E:$E,"&gt;="&amp;$C6,集積用!$E:$E,"&lt;="&amp;$D6)</f>
        <v>0</v>
      </c>
      <c r="V6" s="268">
        <f t="shared" si="0"/>
        <v>0</v>
      </c>
      <c r="W6" s="268">
        <f>COUNTIFS(集積用!$I:$I,W$2,集積用!$E:$E,"&gt;="&amp;$C6,集積用!$E:$E,"&lt;="&amp;$D6)</f>
        <v>0</v>
      </c>
      <c r="X6" s="269">
        <f>SUMIFS(集積用!$S:$S,集積用!$K:$K,"&gt;="&amp;$C6,集積用!$K:$K,"&lt;="&amp;$D6,集積用!$H:$H,$X$1)</f>
        <v>0</v>
      </c>
      <c r="Y6" s="268">
        <f t="shared" si="1"/>
        <v>0</v>
      </c>
      <c r="Z6" s="268">
        <f>COUNTIFS(集積用!$T:$T,Z$2,集積用!$H:$H,$X$1,集積用!$K:$K,"&gt;="&amp;$C6,集積用!$K:$K,"&lt;="&amp;$D6)</f>
        <v>0</v>
      </c>
      <c r="AA6" s="227"/>
      <c r="AB6" s="227"/>
      <c r="AC6" s="227"/>
      <c r="AD6" s="227"/>
      <c r="AE6" s="227"/>
    </row>
    <row r="7" spans="2:31" ht="19.95" customHeight="1" x14ac:dyDescent="0.3">
      <c r="B7" s="270" t="s">
        <v>653</v>
      </c>
      <c r="C7" s="267">
        <v>44217</v>
      </c>
      <c r="D7" s="267">
        <v>44247</v>
      </c>
      <c r="E7" s="268">
        <f>COUNTIFS(集積用!$I:$I,E$2,集積用!$E:$E,"&gt;="&amp;$C7,集積用!$E:$E,"&lt;="&amp;$D7)</f>
        <v>0</v>
      </c>
      <c r="F7" s="268">
        <f>COUNTIFS(集積用!$I:$I,F$2,集積用!$E:$E,"&gt;="&amp;$C7,集積用!$E:$E,"&lt;="&amp;$D7)</f>
        <v>0</v>
      </c>
      <c r="G7" s="268">
        <f>COUNTIFS(集積用!$I:$I,G$2,集積用!$E:$E,"&gt;="&amp;$C7,集積用!$E:$E,"&lt;="&amp;$D7)</f>
        <v>0</v>
      </c>
      <c r="H7" s="268">
        <f>COUNTIFS(集積用!$I:$I,H$2,集積用!$E:$E,"&gt;="&amp;$C7,集積用!$E:$E,"&lt;="&amp;$D7)</f>
        <v>0</v>
      </c>
      <c r="I7" s="268">
        <f>COUNTIFS(集積用!$I:$I,I$2,集積用!$E:$E,"&gt;="&amp;$C7,集積用!$E:$E,"&lt;="&amp;$D7)</f>
        <v>0</v>
      </c>
      <c r="J7" s="268">
        <f>COUNTIFS(集積用!$I:$I,J$2,集積用!$E:$E,"&gt;="&amp;$C7,集積用!$E:$E,"&lt;="&amp;$D7)</f>
        <v>0</v>
      </c>
      <c r="K7" s="268">
        <f>COUNTIFS(集積用!$I:$I,K$2,集積用!$E:$E,"&gt;="&amp;$C7,集積用!$E:$E,"&lt;="&amp;$D7)</f>
        <v>0</v>
      </c>
      <c r="L7" s="268">
        <f>COUNTIFS(集積用!$I:$I,L$2,集積用!$E:$E,"&gt;="&amp;$C7,集積用!$E:$E,"&lt;="&amp;$D7)</f>
        <v>0</v>
      </c>
      <c r="M7" s="268">
        <f>COUNTIFS(集積用!$I:$I,M$2,集積用!$E:$E,"&gt;="&amp;$C7,集積用!$E:$E,"&lt;="&amp;$D7)</f>
        <v>0</v>
      </c>
      <c r="N7" s="268">
        <f>COUNTIFS(集積用!$I:$I,N$2,集積用!$E:$E,"&gt;="&amp;$C7,集積用!$E:$E,"&lt;="&amp;$D7)</f>
        <v>0</v>
      </c>
      <c r="O7" s="268">
        <f>COUNTIFS(集積用!$I:$I,O$2,集積用!$E:$E,"&gt;="&amp;$C7,集積用!$E:$E,"&lt;="&amp;$D7)</f>
        <v>0</v>
      </c>
      <c r="P7" s="268">
        <f>COUNTIFS(集積用!$I:$I,P$2,集積用!$E:$E,"&gt;="&amp;$C7,集積用!$E:$E,"&lt;="&amp;$D7)</f>
        <v>0</v>
      </c>
      <c r="Q7" s="268">
        <f>COUNTIFS(集積用!$I:$I,Q$2,集積用!$E:$E,"&gt;="&amp;$C7,集積用!$E:$E,"&lt;="&amp;$D7)</f>
        <v>0</v>
      </c>
      <c r="R7" s="268">
        <f>COUNTIFS(集積用!$I:$I,R$2,集積用!$E:$E,"&gt;="&amp;$C7,集積用!$E:$E,"&lt;="&amp;$D7)</f>
        <v>0</v>
      </c>
      <c r="S7" s="268">
        <f>COUNTIFS(集積用!$I:$I,S$2,集積用!$E:$E,"&gt;="&amp;$C7,集積用!$E:$E,"&lt;="&amp;$D7)</f>
        <v>0</v>
      </c>
      <c r="T7" s="268">
        <f>COUNTIFS(集積用!$I:$I,T$2,集積用!$E:$E,"&gt;="&amp;$C7,集積用!$E:$E,"&lt;="&amp;$D7)</f>
        <v>0</v>
      </c>
      <c r="U7" s="268">
        <f>COUNTIFS(集積用!$I:$I,U$2,集積用!$E:$E,"&gt;="&amp;$C7,集積用!$E:$E,"&lt;="&amp;$D7)</f>
        <v>0</v>
      </c>
      <c r="V7" s="268">
        <f t="shared" si="0"/>
        <v>0</v>
      </c>
      <c r="W7" s="268">
        <f>COUNTIFS(集積用!$I:$I,W$2,集積用!$E:$E,"&gt;="&amp;$C7,集積用!$E:$E,"&lt;="&amp;$D7)</f>
        <v>0</v>
      </c>
      <c r="X7" s="269">
        <f>SUMIFS(集積用!$S:$S,集積用!$K:$K,"&gt;="&amp;$C7,集積用!$K:$K,"&lt;="&amp;$D7,集積用!$H:$H,$X$1)</f>
        <v>0</v>
      </c>
      <c r="Y7" s="268">
        <f t="shared" si="1"/>
        <v>0</v>
      </c>
      <c r="Z7" s="268">
        <f>COUNTIFS(集積用!$T:$T,Z$2,集積用!$H:$H,$X$1,集積用!$K:$K,"&gt;="&amp;$C7,集積用!$K:$K,"&lt;="&amp;$D7)</f>
        <v>0</v>
      </c>
      <c r="AA7" s="227"/>
      <c r="AB7" s="227"/>
      <c r="AC7" s="227"/>
      <c r="AD7" s="227"/>
      <c r="AE7" s="227"/>
    </row>
    <row r="8" spans="2:31" ht="19.95" customHeight="1" x14ac:dyDescent="0.3">
      <c r="B8" s="270" t="s">
        <v>654</v>
      </c>
      <c r="C8" s="267">
        <v>44248</v>
      </c>
      <c r="D8" s="267">
        <v>44275</v>
      </c>
      <c r="E8" s="268">
        <f>COUNTIFS(集積用!$I:$I,E$2,集積用!$E:$E,"&gt;="&amp;$C8,集積用!$E:$E,"&lt;="&amp;$D8)</f>
        <v>0</v>
      </c>
      <c r="F8" s="268">
        <f>COUNTIFS(集積用!$I:$I,F$2,集積用!$E:$E,"&gt;="&amp;$C8,集積用!$E:$E,"&lt;="&amp;$D8)</f>
        <v>0</v>
      </c>
      <c r="G8" s="268">
        <f>COUNTIFS(集積用!$I:$I,G$2,集積用!$E:$E,"&gt;="&amp;$C8,集積用!$E:$E,"&lt;="&amp;$D8)</f>
        <v>0</v>
      </c>
      <c r="H8" s="268">
        <f>COUNTIFS(集積用!$I:$I,H$2,集積用!$E:$E,"&gt;="&amp;$C8,集積用!$E:$E,"&lt;="&amp;$D8)</f>
        <v>0</v>
      </c>
      <c r="I8" s="268">
        <f>COUNTIFS(集積用!$I:$I,I$2,集積用!$E:$E,"&gt;="&amp;$C8,集積用!$E:$E,"&lt;="&amp;$D8)</f>
        <v>0</v>
      </c>
      <c r="J8" s="268">
        <f>COUNTIFS(集積用!$I:$I,J$2,集積用!$E:$E,"&gt;="&amp;$C8,集積用!$E:$E,"&lt;="&amp;$D8)</f>
        <v>0</v>
      </c>
      <c r="K8" s="268">
        <f>COUNTIFS(集積用!$I:$I,K$2,集積用!$E:$E,"&gt;="&amp;$C8,集積用!$E:$E,"&lt;="&amp;$D8)</f>
        <v>0</v>
      </c>
      <c r="L8" s="268">
        <f>COUNTIFS(集積用!$I:$I,L$2,集積用!$E:$E,"&gt;="&amp;$C8,集積用!$E:$E,"&lt;="&amp;$D8)</f>
        <v>0</v>
      </c>
      <c r="M8" s="268">
        <f>COUNTIFS(集積用!$I:$I,M$2,集積用!$E:$E,"&gt;="&amp;$C8,集積用!$E:$E,"&lt;="&amp;$D8)</f>
        <v>0</v>
      </c>
      <c r="N8" s="268">
        <f>COUNTIFS(集積用!$I:$I,N$2,集積用!$E:$E,"&gt;="&amp;$C8,集積用!$E:$E,"&lt;="&amp;$D8)</f>
        <v>0</v>
      </c>
      <c r="O8" s="268">
        <f>COUNTIFS(集積用!$I:$I,O$2,集積用!$E:$E,"&gt;="&amp;$C8,集積用!$E:$E,"&lt;="&amp;$D8)</f>
        <v>0</v>
      </c>
      <c r="P8" s="268">
        <f>COUNTIFS(集積用!$I:$I,P$2,集積用!$E:$E,"&gt;="&amp;$C8,集積用!$E:$E,"&lt;="&amp;$D8)</f>
        <v>0</v>
      </c>
      <c r="Q8" s="268">
        <f>COUNTIFS(集積用!$I:$I,Q$2,集積用!$E:$E,"&gt;="&amp;$C8,集積用!$E:$E,"&lt;="&amp;$D8)</f>
        <v>0</v>
      </c>
      <c r="R8" s="268">
        <f>COUNTIFS(集積用!$I:$I,R$2,集積用!$E:$E,"&gt;="&amp;$C8,集積用!$E:$E,"&lt;="&amp;$D8)</f>
        <v>0</v>
      </c>
      <c r="S8" s="268">
        <f>COUNTIFS(集積用!$I:$I,S$2,集積用!$E:$E,"&gt;="&amp;$C8,集積用!$E:$E,"&lt;="&amp;$D8)</f>
        <v>0</v>
      </c>
      <c r="T8" s="268">
        <f>COUNTIFS(集積用!$I:$I,T$2,集積用!$E:$E,"&gt;="&amp;$C8,集積用!$E:$E,"&lt;="&amp;$D8)</f>
        <v>0</v>
      </c>
      <c r="U8" s="268">
        <f>COUNTIFS(集積用!$I:$I,U$2,集積用!$E:$E,"&gt;="&amp;$C8,集積用!$E:$E,"&lt;="&amp;$D8)</f>
        <v>0</v>
      </c>
      <c r="V8" s="268">
        <f t="shared" si="0"/>
        <v>0</v>
      </c>
      <c r="W8" s="268">
        <f>COUNTIFS(集積用!$I:$I,W$2,集積用!$E:$E,"&gt;="&amp;$C8,集積用!$E:$E,"&lt;="&amp;$D8)</f>
        <v>0</v>
      </c>
      <c r="X8" s="269">
        <f>SUMIFS(集積用!$S:$S,集積用!$K:$K,"&gt;="&amp;$C8,集積用!$K:$K,"&lt;="&amp;$D8,集積用!$H:$H,$X$1)</f>
        <v>0</v>
      </c>
      <c r="Y8" s="268">
        <f t="shared" si="1"/>
        <v>0</v>
      </c>
      <c r="Z8" s="268">
        <f>COUNTIFS(集積用!$T:$T,Z$2,集積用!$H:$H,$X$1,集積用!$K:$K,"&gt;="&amp;$C8,集積用!$K:$K,"&lt;="&amp;$D8)</f>
        <v>0</v>
      </c>
      <c r="AA8" s="227"/>
      <c r="AB8" s="227"/>
      <c r="AC8" s="227"/>
      <c r="AD8" s="227"/>
      <c r="AE8" s="227"/>
    </row>
    <row r="9" spans="2:31" ht="19.95" customHeight="1" x14ac:dyDescent="0.3">
      <c r="B9" s="270" t="s">
        <v>655</v>
      </c>
      <c r="C9" s="267">
        <v>44276</v>
      </c>
      <c r="D9" s="267">
        <v>44306</v>
      </c>
      <c r="E9" s="268">
        <f>COUNTIFS(集積用!$I:$I,E$2,集積用!$E:$E,"&gt;="&amp;$C9,集積用!$E:$E,"&lt;="&amp;$D9)</f>
        <v>0</v>
      </c>
      <c r="F9" s="268">
        <f>COUNTIFS(集積用!$I:$I,F$2,集積用!$E:$E,"&gt;="&amp;$C9,集積用!$E:$E,"&lt;="&amp;$D9)</f>
        <v>0</v>
      </c>
      <c r="G9" s="268">
        <f>COUNTIFS(集積用!$I:$I,G$2,集積用!$E:$E,"&gt;="&amp;$C9,集積用!$E:$E,"&lt;="&amp;$D9)</f>
        <v>0</v>
      </c>
      <c r="H9" s="268">
        <f>COUNTIFS(集積用!$I:$I,H$2,集積用!$E:$E,"&gt;="&amp;$C9,集積用!$E:$E,"&lt;="&amp;$D9)</f>
        <v>0</v>
      </c>
      <c r="I9" s="268">
        <f>COUNTIFS(集積用!$I:$I,I$2,集積用!$E:$E,"&gt;="&amp;$C9,集積用!$E:$E,"&lt;="&amp;$D9)</f>
        <v>0</v>
      </c>
      <c r="J9" s="268">
        <f>COUNTIFS(集積用!$I:$I,J$2,集積用!$E:$E,"&gt;="&amp;$C9,集積用!$E:$E,"&lt;="&amp;$D9)</f>
        <v>0</v>
      </c>
      <c r="K9" s="268">
        <f>COUNTIFS(集積用!$I:$I,K$2,集積用!$E:$E,"&gt;="&amp;$C9,集積用!$E:$E,"&lt;="&amp;$D9)</f>
        <v>0</v>
      </c>
      <c r="L9" s="268">
        <f>COUNTIFS(集積用!$I:$I,L$2,集積用!$E:$E,"&gt;="&amp;$C9,集積用!$E:$E,"&lt;="&amp;$D9)</f>
        <v>0</v>
      </c>
      <c r="M9" s="268">
        <f>COUNTIFS(集積用!$I:$I,M$2,集積用!$E:$E,"&gt;="&amp;$C9,集積用!$E:$E,"&lt;="&amp;$D9)</f>
        <v>0</v>
      </c>
      <c r="N9" s="268">
        <f>COUNTIFS(集積用!$I:$I,N$2,集積用!$E:$E,"&gt;="&amp;$C9,集積用!$E:$E,"&lt;="&amp;$D9)</f>
        <v>0</v>
      </c>
      <c r="O9" s="268">
        <f>COUNTIFS(集積用!$I:$I,O$2,集積用!$E:$E,"&gt;="&amp;$C9,集積用!$E:$E,"&lt;="&amp;$D9)</f>
        <v>0</v>
      </c>
      <c r="P9" s="268">
        <f>COUNTIFS(集積用!$I:$I,P$2,集積用!$E:$E,"&gt;="&amp;$C9,集積用!$E:$E,"&lt;="&amp;$D9)</f>
        <v>0</v>
      </c>
      <c r="Q9" s="268">
        <f>COUNTIFS(集積用!$I:$I,Q$2,集積用!$E:$E,"&gt;="&amp;$C9,集積用!$E:$E,"&lt;="&amp;$D9)</f>
        <v>0</v>
      </c>
      <c r="R9" s="268">
        <f>COUNTIFS(集積用!$I:$I,R$2,集積用!$E:$E,"&gt;="&amp;$C9,集積用!$E:$E,"&lt;="&amp;$D9)</f>
        <v>0</v>
      </c>
      <c r="S9" s="268">
        <f>COUNTIFS(集積用!$I:$I,S$2,集積用!$E:$E,"&gt;="&amp;$C9,集積用!$E:$E,"&lt;="&amp;$D9)</f>
        <v>0</v>
      </c>
      <c r="T9" s="268">
        <f>COUNTIFS(集積用!$I:$I,T$2,集積用!$E:$E,"&gt;="&amp;$C9,集積用!$E:$E,"&lt;="&amp;$D9)</f>
        <v>0</v>
      </c>
      <c r="U9" s="268">
        <f>COUNTIFS(集積用!$I:$I,U$2,集積用!$E:$E,"&gt;="&amp;$C9,集積用!$E:$E,"&lt;="&amp;$D9)</f>
        <v>0</v>
      </c>
      <c r="V9" s="268">
        <f t="shared" si="0"/>
        <v>0</v>
      </c>
      <c r="W9" s="268">
        <f>COUNTIFS(集積用!$I:$I,W$2,集積用!$E:$E,"&gt;="&amp;$C9,集積用!$E:$E,"&lt;="&amp;$D9)</f>
        <v>0</v>
      </c>
      <c r="X9" s="269">
        <f>SUMIFS(集積用!$S:$S,集積用!$K:$K,"&gt;="&amp;$C9,集積用!$K:$K,"&lt;="&amp;$D9,集積用!$H:$H,$X$1)</f>
        <v>0</v>
      </c>
      <c r="Y9" s="268">
        <f t="shared" si="1"/>
        <v>0</v>
      </c>
      <c r="Z9" s="268">
        <f>COUNTIFS(集積用!$T:$T,Z$2,集積用!$H:$H,$X$1,集積用!$K:$K,"&gt;="&amp;$C9,集積用!$K:$K,"&lt;="&amp;$D9)</f>
        <v>0</v>
      </c>
      <c r="AA9" s="227"/>
      <c r="AB9" s="227"/>
      <c r="AC9" s="227"/>
      <c r="AD9" s="227"/>
      <c r="AE9" s="227"/>
    </row>
    <row r="10" spans="2:31" ht="19.95" customHeight="1" x14ac:dyDescent="0.3">
      <c r="B10" s="270" t="s">
        <v>656</v>
      </c>
      <c r="C10" s="267">
        <v>44307</v>
      </c>
      <c r="D10" s="267">
        <v>44336</v>
      </c>
      <c r="E10" s="268">
        <f>COUNTIFS(集積用!$I:$I,E$2,集積用!$E:$E,"&gt;="&amp;$C10,集積用!$E:$E,"&lt;="&amp;$D10)</f>
        <v>0</v>
      </c>
      <c r="F10" s="268">
        <f>COUNTIFS(集積用!$I:$I,F$2,集積用!$E:$E,"&gt;="&amp;$C10,集積用!$E:$E,"&lt;="&amp;$D10)</f>
        <v>0</v>
      </c>
      <c r="G10" s="268">
        <f>COUNTIFS(集積用!$I:$I,G$2,集積用!$E:$E,"&gt;="&amp;$C10,集積用!$E:$E,"&lt;="&amp;$D10)</f>
        <v>0</v>
      </c>
      <c r="H10" s="268">
        <f>COUNTIFS(集積用!$I:$I,H$2,集積用!$E:$E,"&gt;="&amp;$C10,集積用!$E:$E,"&lt;="&amp;$D10)</f>
        <v>0</v>
      </c>
      <c r="I10" s="268">
        <f>COUNTIFS(集積用!$I:$I,I$2,集積用!$E:$E,"&gt;="&amp;$C10,集積用!$E:$E,"&lt;="&amp;$D10)</f>
        <v>0</v>
      </c>
      <c r="J10" s="268">
        <f>COUNTIFS(集積用!$I:$I,J$2,集積用!$E:$E,"&gt;="&amp;$C10,集積用!$E:$E,"&lt;="&amp;$D10)</f>
        <v>0</v>
      </c>
      <c r="K10" s="268">
        <f>COUNTIFS(集積用!$I:$I,K$2,集積用!$E:$E,"&gt;="&amp;$C10,集積用!$E:$E,"&lt;="&amp;$D10)</f>
        <v>0</v>
      </c>
      <c r="L10" s="268">
        <f>COUNTIFS(集積用!$I:$I,L$2,集積用!$E:$E,"&gt;="&amp;$C10,集積用!$E:$E,"&lt;="&amp;$D10)</f>
        <v>0</v>
      </c>
      <c r="M10" s="268">
        <f>COUNTIFS(集積用!$I:$I,M$2,集積用!$E:$E,"&gt;="&amp;$C10,集積用!$E:$E,"&lt;="&amp;$D10)</f>
        <v>0</v>
      </c>
      <c r="N10" s="268">
        <f>COUNTIFS(集積用!$I:$I,N$2,集積用!$E:$E,"&gt;="&amp;$C10,集積用!$E:$E,"&lt;="&amp;$D10)</f>
        <v>0</v>
      </c>
      <c r="O10" s="268">
        <f>COUNTIFS(集積用!$I:$I,O$2,集積用!$E:$E,"&gt;="&amp;$C10,集積用!$E:$E,"&lt;="&amp;$D10)</f>
        <v>0</v>
      </c>
      <c r="P10" s="268">
        <f>COUNTIFS(集積用!$I:$I,P$2,集積用!$E:$E,"&gt;="&amp;$C10,集積用!$E:$E,"&lt;="&amp;$D10)</f>
        <v>0</v>
      </c>
      <c r="Q10" s="268">
        <f>COUNTIFS(集積用!$I:$I,Q$2,集積用!$E:$E,"&gt;="&amp;$C10,集積用!$E:$E,"&lt;="&amp;$D10)</f>
        <v>0</v>
      </c>
      <c r="R10" s="268">
        <f>COUNTIFS(集積用!$I:$I,R$2,集積用!$E:$E,"&gt;="&amp;$C10,集積用!$E:$E,"&lt;="&amp;$D10)</f>
        <v>0</v>
      </c>
      <c r="S10" s="268">
        <f>COUNTIFS(集積用!$I:$I,S$2,集積用!$E:$E,"&gt;="&amp;$C10,集積用!$E:$E,"&lt;="&amp;$D10)</f>
        <v>0</v>
      </c>
      <c r="T10" s="268">
        <f>COUNTIFS(集積用!$I:$I,T$2,集積用!$E:$E,"&gt;="&amp;$C10,集積用!$E:$E,"&lt;="&amp;$D10)</f>
        <v>0</v>
      </c>
      <c r="U10" s="268">
        <f>COUNTIFS(集積用!$I:$I,U$2,集積用!$E:$E,"&gt;="&amp;$C10,集積用!$E:$E,"&lt;="&amp;$D10)</f>
        <v>0</v>
      </c>
      <c r="V10" s="268">
        <f t="shared" ref="V10:V12" si="2">SUM(E10:U10)</f>
        <v>0</v>
      </c>
      <c r="W10" s="268">
        <f>COUNTIFS(集積用!$I:$I,W$2,集積用!$E:$E,"&gt;="&amp;$C10,集積用!$E:$E,"&lt;="&amp;$D10)</f>
        <v>0</v>
      </c>
      <c r="X10" s="269">
        <f>SUMIFS(集積用!$S:$S,集積用!$K:$K,"&gt;="&amp;$C10,集積用!$K:$K,"&lt;="&amp;$D10,集積用!$H:$H,$X$1)</f>
        <v>0</v>
      </c>
      <c r="Y10" s="268">
        <f t="shared" si="1"/>
        <v>0</v>
      </c>
      <c r="Z10" s="268">
        <f>COUNTIFS(集積用!$T:$T,Z$2,集積用!$H:$H,$X$1,集積用!$K:$K,"&gt;="&amp;$C10,集積用!$K:$K,"&lt;="&amp;$D10)</f>
        <v>0</v>
      </c>
      <c r="AA10" s="227"/>
      <c r="AB10" s="227"/>
      <c r="AC10" s="227"/>
      <c r="AD10" s="227"/>
      <c r="AE10" s="227"/>
    </row>
    <row r="11" spans="2:31" ht="19.95" customHeight="1" x14ac:dyDescent="0.3">
      <c r="B11" s="270" t="s">
        <v>664</v>
      </c>
      <c r="C11" s="267">
        <v>44337</v>
      </c>
      <c r="D11" s="267">
        <v>44367</v>
      </c>
      <c r="E11" s="268">
        <f>COUNTIFS(集積用!$I:$I,E$2,集積用!$E:$E,"&gt;="&amp;$C11,集積用!$E:$E,"&lt;="&amp;$D11)</f>
        <v>0</v>
      </c>
      <c r="F11" s="268">
        <f>COUNTIFS(集積用!$I:$I,F$2,集積用!$E:$E,"&gt;="&amp;$C11,集積用!$E:$E,"&lt;="&amp;$D11)</f>
        <v>0</v>
      </c>
      <c r="G11" s="268">
        <f>COUNTIFS(集積用!$I:$I,G$2,集積用!$E:$E,"&gt;="&amp;$C11,集積用!$E:$E,"&lt;="&amp;$D11)</f>
        <v>0</v>
      </c>
      <c r="H11" s="268">
        <f>COUNTIFS(集積用!$I:$I,H$2,集積用!$E:$E,"&gt;="&amp;$C11,集積用!$E:$E,"&lt;="&amp;$D11)</f>
        <v>0</v>
      </c>
      <c r="I11" s="268">
        <f>COUNTIFS(集積用!$I:$I,I$2,集積用!$E:$E,"&gt;="&amp;$C11,集積用!$E:$E,"&lt;="&amp;$D11)</f>
        <v>0</v>
      </c>
      <c r="J11" s="268">
        <f>COUNTIFS(集積用!$I:$I,J$2,集積用!$E:$E,"&gt;="&amp;$C11,集積用!$E:$E,"&lt;="&amp;$D11)</f>
        <v>0</v>
      </c>
      <c r="K11" s="268">
        <f>COUNTIFS(集積用!$I:$I,K$2,集積用!$E:$E,"&gt;="&amp;$C11,集積用!$E:$E,"&lt;="&amp;$D11)</f>
        <v>0</v>
      </c>
      <c r="L11" s="268">
        <f>COUNTIFS(集積用!$I:$I,L$2,集積用!$E:$E,"&gt;="&amp;$C11,集積用!$E:$E,"&lt;="&amp;$D11)</f>
        <v>0</v>
      </c>
      <c r="M11" s="268">
        <f>COUNTIFS(集積用!$I:$I,M$2,集積用!$E:$E,"&gt;="&amp;$C11,集積用!$E:$E,"&lt;="&amp;$D11)</f>
        <v>0</v>
      </c>
      <c r="N11" s="268">
        <f>COUNTIFS(集積用!$I:$I,N$2,集積用!$E:$E,"&gt;="&amp;$C11,集積用!$E:$E,"&lt;="&amp;$D11)</f>
        <v>0</v>
      </c>
      <c r="O11" s="268">
        <f>COUNTIFS(集積用!$I:$I,O$2,集積用!$E:$E,"&gt;="&amp;$C11,集積用!$E:$E,"&lt;="&amp;$D11)</f>
        <v>0</v>
      </c>
      <c r="P11" s="268">
        <f>COUNTIFS(集積用!$I:$I,P$2,集積用!$E:$E,"&gt;="&amp;$C11,集積用!$E:$E,"&lt;="&amp;$D11)</f>
        <v>0</v>
      </c>
      <c r="Q11" s="268">
        <f>COUNTIFS(集積用!$I:$I,Q$2,集積用!$E:$E,"&gt;="&amp;$C11,集積用!$E:$E,"&lt;="&amp;$D11)</f>
        <v>0</v>
      </c>
      <c r="R11" s="268">
        <f>COUNTIFS(集積用!$I:$I,R$2,集積用!$E:$E,"&gt;="&amp;$C11,集積用!$E:$E,"&lt;="&amp;$D11)</f>
        <v>0</v>
      </c>
      <c r="S11" s="268">
        <f>COUNTIFS(集積用!$I:$I,S$2,集積用!$E:$E,"&gt;="&amp;$C11,集積用!$E:$E,"&lt;="&amp;$D11)</f>
        <v>0</v>
      </c>
      <c r="T11" s="268">
        <f>COUNTIFS(集積用!$I:$I,T$2,集積用!$E:$E,"&gt;="&amp;$C11,集積用!$E:$E,"&lt;="&amp;$D11)</f>
        <v>0</v>
      </c>
      <c r="U11" s="268">
        <f>COUNTIFS(集積用!$I:$I,U$2,集積用!$E:$E,"&gt;="&amp;$C11,集積用!$E:$E,"&lt;="&amp;$D11)</f>
        <v>0</v>
      </c>
      <c r="V11" s="268">
        <f t="shared" si="2"/>
        <v>0</v>
      </c>
      <c r="W11" s="268">
        <f>COUNTIFS(集積用!$I:$I,W$2,集積用!$E:$E,"&gt;="&amp;$C11,集積用!$E:$E,"&lt;="&amp;$D11)</f>
        <v>0</v>
      </c>
      <c r="X11" s="269">
        <f>SUMIFS(集積用!$S:$S,集積用!$K:$K,"&gt;="&amp;$C11,集積用!$K:$K,"&lt;="&amp;$D11,集積用!$H:$H,$X$1)</f>
        <v>0</v>
      </c>
      <c r="Y11" s="268">
        <f t="shared" si="1"/>
        <v>0</v>
      </c>
      <c r="Z11" s="268">
        <f>COUNTIFS(集積用!$T:$T,Z$2,集積用!$H:$H,$X$1,集積用!$K:$K,"&gt;="&amp;$C11,集積用!$K:$K,"&lt;="&amp;$D11)</f>
        <v>0</v>
      </c>
      <c r="AA11" s="227"/>
      <c r="AB11" s="227"/>
      <c r="AC11" s="227"/>
      <c r="AD11" s="227"/>
      <c r="AE11" s="227"/>
    </row>
    <row r="12" spans="2:31" ht="19.95" customHeight="1" x14ac:dyDescent="0.3">
      <c r="B12" s="270" t="s">
        <v>672</v>
      </c>
      <c r="C12" s="267">
        <v>44368</v>
      </c>
      <c r="D12" s="267">
        <v>44397</v>
      </c>
      <c r="E12" s="268">
        <f>COUNTIFS(集積用!$I:$I,E$2,集積用!$E:$E,"&gt;="&amp;$C12,集積用!$E:$E,"&lt;="&amp;$D12)</f>
        <v>0</v>
      </c>
      <c r="F12" s="268">
        <f>COUNTIFS(集積用!$I:$I,F$2,集積用!$E:$E,"&gt;="&amp;$C12,集積用!$E:$E,"&lt;="&amp;$D12)</f>
        <v>0</v>
      </c>
      <c r="G12" s="268">
        <f>COUNTIFS(集積用!$I:$I,G$2,集積用!$E:$E,"&gt;="&amp;$C12,集積用!$E:$E,"&lt;="&amp;$D12)</f>
        <v>0</v>
      </c>
      <c r="H12" s="268">
        <f>COUNTIFS(集積用!$I:$I,H$2,集積用!$E:$E,"&gt;="&amp;$C12,集積用!$E:$E,"&lt;="&amp;$D12)</f>
        <v>0</v>
      </c>
      <c r="I12" s="268">
        <f>COUNTIFS(集積用!$I:$I,I$2,集積用!$E:$E,"&gt;="&amp;$C12,集積用!$E:$E,"&lt;="&amp;$D12)</f>
        <v>0</v>
      </c>
      <c r="J12" s="268">
        <f>COUNTIFS(集積用!$I:$I,J$2,集積用!$E:$E,"&gt;="&amp;$C12,集積用!$E:$E,"&lt;="&amp;$D12)</f>
        <v>0</v>
      </c>
      <c r="K12" s="268">
        <f>COUNTIFS(集積用!$I:$I,K$2,集積用!$E:$E,"&gt;="&amp;$C12,集積用!$E:$E,"&lt;="&amp;$D12)</f>
        <v>0</v>
      </c>
      <c r="L12" s="268">
        <f>COUNTIFS(集積用!$I:$I,L$2,集積用!$E:$E,"&gt;="&amp;$C12,集積用!$E:$E,"&lt;="&amp;$D12)</f>
        <v>0</v>
      </c>
      <c r="M12" s="268">
        <f>COUNTIFS(集積用!$I:$I,M$2,集積用!$E:$E,"&gt;="&amp;$C12,集積用!$E:$E,"&lt;="&amp;$D12)</f>
        <v>0</v>
      </c>
      <c r="N12" s="268">
        <f>COUNTIFS(集積用!$I:$I,N$2,集積用!$E:$E,"&gt;="&amp;$C12,集積用!$E:$E,"&lt;="&amp;$D12)</f>
        <v>0</v>
      </c>
      <c r="O12" s="268">
        <f>COUNTIFS(集積用!$I:$I,O$2,集積用!$E:$E,"&gt;="&amp;$C12,集積用!$E:$E,"&lt;="&amp;$D12)</f>
        <v>0</v>
      </c>
      <c r="P12" s="268">
        <f>COUNTIFS(集積用!$I:$I,P$2,集積用!$E:$E,"&gt;="&amp;$C12,集積用!$E:$E,"&lt;="&amp;$D12)</f>
        <v>0</v>
      </c>
      <c r="Q12" s="268">
        <f>COUNTIFS(集積用!$I:$I,Q$2,集積用!$E:$E,"&gt;="&amp;$C12,集積用!$E:$E,"&lt;="&amp;$D12)</f>
        <v>0</v>
      </c>
      <c r="R12" s="268">
        <f>COUNTIFS(集積用!$I:$I,R$2,集積用!$E:$E,"&gt;="&amp;$C12,集積用!$E:$E,"&lt;="&amp;$D12)</f>
        <v>0</v>
      </c>
      <c r="S12" s="268">
        <f>COUNTIFS(集積用!$I:$I,S$2,集積用!$E:$E,"&gt;="&amp;$C12,集積用!$E:$E,"&lt;="&amp;$D12)</f>
        <v>0</v>
      </c>
      <c r="T12" s="268">
        <f>COUNTIFS(集積用!$I:$I,T$2,集積用!$E:$E,"&gt;="&amp;$C12,集積用!$E:$E,"&lt;="&amp;$D12)</f>
        <v>0</v>
      </c>
      <c r="U12" s="268">
        <f>COUNTIFS(集積用!$I:$I,U$2,集積用!$E:$E,"&gt;="&amp;$C12,集積用!$E:$E,"&lt;="&amp;$D12)</f>
        <v>0</v>
      </c>
      <c r="V12" s="268">
        <f t="shared" si="2"/>
        <v>0</v>
      </c>
      <c r="W12" s="268">
        <f>COUNTIFS(集積用!$I:$I,W$2,集積用!$E:$E,"&gt;="&amp;$C12,集積用!$E:$E,"&lt;="&amp;$D12)</f>
        <v>0</v>
      </c>
      <c r="X12" s="269">
        <f>SUMIFS(集積用!$S:$S,集積用!$K:$K,"&gt;="&amp;$C12,集積用!$K:$K,"&lt;="&amp;$D12,集積用!$H:$H,$X$1)</f>
        <v>0</v>
      </c>
      <c r="Y12" s="268">
        <f t="shared" si="1"/>
        <v>0</v>
      </c>
      <c r="Z12" s="268">
        <f>COUNTIFS(集積用!$T:$T,Z$2,集積用!$H:$H,$X$1,集積用!$K:$K,"&gt;="&amp;$C12,集積用!$K:$K,"&lt;="&amp;$D12)</f>
        <v>0</v>
      </c>
      <c r="AA12" s="227"/>
      <c r="AB12" s="227"/>
      <c r="AC12" s="227"/>
      <c r="AD12" s="227"/>
      <c r="AE12" s="227"/>
    </row>
    <row r="13" spans="2:31" ht="19.95" customHeight="1" x14ac:dyDescent="0.3">
      <c r="B13" s="270" t="s">
        <v>683</v>
      </c>
      <c r="C13" s="267">
        <v>44398</v>
      </c>
      <c r="D13" s="267">
        <v>44428</v>
      </c>
      <c r="E13" s="268">
        <f>COUNTIFS(集積用!$I:$I,E$2,集積用!$E:$E,"&gt;="&amp;$C13,集積用!$E:$E,"&lt;="&amp;$D13)</f>
        <v>0</v>
      </c>
      <c r="F13" s="268">
        <f>COUNTIFS(集積用!$I:$I,F$2,集積用!$E:$E,"&gt;="&amp;$C13,集積用!$E:$E,"&lt;="&amp;$D13)</f>
        <v>0</v>
      </c>
      <c r="G13" s="268">
        <f>COUNTIFS(集積用!$I:$I,G$2,集積用!$E:$E,"&gt;="&amp;$C13,集積用!$E:$E,"&lt;="&amp;$D13)</f>
        <v>0</v>
      </c>
      <c r="H13" s="268">
        <f>COUNTIFS(集積用!$I:$I,H$2,集積用!$E:$E,"&gt;="&amp;$C13,集積用!$E:$E,"&lt;="&amp;$D13)</f>
        <v>0</v>
      </c>
      <c r="I13" s="268">
        <f>COUNTIFS(集積用!$I:$I,I$2,集積用!$E:$E,"&gt;="&amp;$C13,集積用!$E:$E,"&lt;="&amp;$D13)</f>
        <v>0</v>
      </c>
      <c r="J13" s="268">
        <f>COUNTIFS(集積用!$I:$I,J$2,集積用!$E:$E,"&gt;="&amp;$C13,集積用!$E:$E,"&lt;="&amp;$D13)</f>
        <v>0</v>
      </c>
      <c r="K13" s="268">
        <f>COUNTIFS(集積用!$I:$I,K$2,集積用!$E:$E,"&gt;="&amp;$C13,集積用!$E:$E,"&lt;="&amp;$D13)</f>
        <v>0</v>
      </c>
      <c r="L13" s="268">
        <f>COUNTIFS(集積用!$I:$I,L$2,集積用!$E:$E,"&gt;="&amp;$C13,集積用!$E:$E,"&lt;="&amp;$D13)</f>
        <v>0</v>
      </c>
      <c r="M13" s="268">
        <f>COUNTIFS(集積用!$I:$I,M$2,集積用!$E:$E,"&gt;="&amp;$C13,集積用!$E:$E,"&lt;="&amp;$D13)</f>
        <v>0</v>
      </c>
      <c r="N13" s="268">
        <f>COUNTIFS(集積用!$I:$I,N$2,集積用!$E:$E,"&gt;="&amp;$C13,集積用!$E:$E,"&lt;="&amp;$D13)</f>
        <v>0</v>
      </c>
      <c r="O13" s="268">
        <f>COUNTIFS(集積用!$I:$I,O$2,集積用!$E:$E,"&gt;="&amp;$C13,集積用!$E:$E,"&lt;="&amp;$D13)</f>
        <v>0</v>
      </c>
      <c r="P13" s="268">
        <f>COUNTIFS(集積用!$I:$I,P$2,集積用!$E:$E,"&gt;="&amp;$C13,集積用!$E:$E,"&lt;="&amp;$D13)</f>
        <v>0</v>
      </c>
      <c r="Q13" s="268">
        <f>COUNTIFS(集積用!$I:$I,Q$2,集積用!$E:$E,"&gt;="&amp;$C13,集積用!$E:$E,"&lt;="&amp;$D13)</f>
        <v>0</v>
      </c>
      <c r="R13" s="268">
        <f>COUNTIFS(集積用!$I:$I,R$2,集積用!$E:$E,"&gt;="&amp;$C13,集積用!$E:$E,"&lt;="&amp;$D13)</f>
        <v>0</v>
      </c>
      <c r="S13" s="268">
        <f>COUNTIFS(集積用!$I:$I,S$2,集積用!$E:$E,"&gt;="&amp;$C13,集積用!$E:$E,"&lt;="&amp;$D13)</f>
        <v>0</v>
      </c>
      <c r="T13" s="268">
        <f>COUNTIFS(集積用!$I:$I,T$2,集積用!$E:$E,"&gt;="&amp;$C13,集積用!$E:$E,"&lt;="&amp;$D13)</f>
        <v>0</v>
      </c>
      <c r="U13" s="268">
        <f>COUNTIFS(集積用!$I:$I,U$2,集積用!$E:$E,"&gt;="&amp;$C13,集積用!$E:$E,"&lt;="&amp;$D13)</f>
        <v>0</v>
      </c>
      <c r="V13" s="268">
        <f t="shared" ref="V13:V14" si="3">SUM(E13:U13)</f>
        <v>0</v>
      </c>
      <c r="W13" s="268">
        <f>COUNTIFS(集積用!$I:$I,W$2,集積用!$E:$E,"&gt;="&amp;$C13,集積用!$E:$E,"&lt;="&amp;$D13)</f>
        <v>0</v>
      </c>
      <c r="X13" s="269">
        <f>SUMIFS(集積用!$S:$S,集積用!$K:$K,"&gt;="&amp;$C13,集積用!$K:$K,"&lt;="&amp;$D13,集積用!$H:$H,$X$1)</f>
        <v>0</v>
      </c>
      <c r="Y13" s="268">
        <f t="shared" ref="Y13:Y14" si="4">SUM(V13:W13)</f>
        <v>0</v>
      </c>
      <c r="Z13" s="268">
        <f>COUNTIFS(集積用!$T:$T,Z$2,集積用!$H:$H,$X$1,集積用!$K:$K,"&gt;="&amp;$C13,集積用!$K:$K,"&lt;="&amp;$D13)</f>
        <v>0</v>
      </c>
      <c r="AA13" s="227"/>
      <c r="AB13" s="227"/>
      <c r="AC13" s="227"/>
      <c r="AD13" s="227"/>
      <c r="AE13" s="227"/>
    </row>
    <row r="14" spans="2:31" ht="19.95" customHeight="1" x14ac:dyDescent="0.3">
      <c r="B14" s="270" t="s">
        <v>689</v>
      </c>
      <c r="C14" s="267">
        <v>44429</v>
      </c>
      <c r="D14" s="267">
        <v>44459</v>
      </c>
      <c r="E14" s="268">
        <f>COUNTIFS(集積用!$I:$I,E$2,集積用!$E:$E,"&gt;="&amp;$C14,集積用!$E:$E,"&lt;="&amp;$D14)</f>
        <v>0</v>
      </c>
      <c r="F14" s="268">
        <f>COUNTIFS(集積用!$I:$I,F$2,集積用!$E:$E,"&gt;="&amp;$C14,集積用!$E:$E,"&lt;="&amp;$D14)</f>
        <v>0</v>
      </c>
      <c r="G14" s="268">
        <f>COUNTIFS(集積用!$I:$I,G$2,集積用!$E:$E,"&gt;="&amp;$C14,集積用!$E:$E,"&lt;="&amp;$D14)</f>
        <v>0</v>
      </c>
      <c r="H14" s="268">
        <f>COUNTIFS(集積用!$I:$I,H$2,集積用!$E:$E,"&gt;="&amp;$C14,集積用!$E:$E,"&lt;="&amp;$D14)</f>
        <v>0</v>
      </c>
      <c r="I14" s="268">
        <f>COUNTIFS(集積用!$I:$I,I$2,集積用!$E:$E,"&gt;="&amp;$C14,集積用!$E:$E,"&lt;="&amp;$D14)</f>
        <v>0</v>
      </c>
      <c r="J14" s="268">
        <f>COUNTIFS(集積用!$I:$I,J$2,集積用!$E:$E,"&gt;="&amp;$C14,集積用!$E:$E,"&lt;="&amp;$D14)</f>
        <v>0</v>
      </c>
      <c r="K14" s="268">
        <f>COUNTIFS(集積用!$I:$I,K$2,集積用!$E:$E,"&gt;="&amp;$C14,集積用!$E:$E,"&lt;="&amp;$D14)</f>
        <v>0</v>
      </c>
      <c r="L14" s="268">
        <f>COUNTIFS(集積用!$I:$I,L$2,集積用!$E:$E,"&gt;="&amp;$C14,集積用!$E:$E,"&lt;="&amp;$D14)</f>
        <v>0</v>
      </c>
      <c r="M14" s="268">
        <f>COUNTIFS(集積用!$I:$I,M$2,集積用!$E:$E,"&gt;="&amp;$C14,集積用!$E:$E,"&lt;="&amp;$D14)</f>
        <v>0</v>
      </c>
      <c r="N14" s="268">
        <f>COUNTIFS(集積用!$I:$I,N$2,集積用!$E:$E,"&gt;="&amp;$C14,集積用!$E:$E,"&lt;="&amp;$D14)</f>
        <v>0</v>
      </c>
      <c r="O14" s="268">
        <f>COUNTIFS(集積用!$I:$I,O$2,集積用!$E:$E,"&gt;="&amp;$C14,集積用!$E:$E,"&lt;="&amp;$D14)</f>
        <v>0</v>
      </c>
      <c r="P14" s="268">
        <f>COUNTIFS(集積用!$I:$I,P$2,集積用!$E:$E,"&gt;="&amp;$C14,集積用!$E:$E,"&lt;="&amp;$D14)</f>
        <v>0</v>
      </c>
      <c r="Q14" s="268">
        <f>COUNTIFS(集積用!$I:$I,Q$2,集積用!$E:$E,"&gt;="&amp;$C14,集積用!$E:$E,"&lt;="&amp;$D14)</f>
        <v>0</v>
      </c>
      <c r="R14" s="268">
        <f>COUNTIFS(集積用!$I:$I,R$2,集積用!$E:$E,"&gt;="&amp;$C14,集積用!$E:$E,"&lt;="&amp;$D14)</f>
        <v>0</v>
      </c>
      <c r="S14" s="268">
        <f>COUNTIFS(集積用!$I:$I,S$2,集積用!$E:$E,"&gt;="&amp;$C14,集積用!$E:$E,"&lt;="&amp;$D14)</f>
        <v>0</v>
      </c>
      <c r="T14" s="268">
        <f>COUNTIFS(集積用!$I:$I,T$2,集積用!$E:$E,"&gt;="&amp;$C14,集積用!$E:$E,"&lt;="&amp;$D14)</f>
        <v>0</v>
      </c>
      <c r="U14" s="268">
        <f>COUNTIFS(集積用!$I:$I,U$2,集積用!$E:$E,"&gt;="&amp;$C14,集積用!$E:$E,"&lt;="&amp;$D14)</f>
        <v>0</v>
      </c>
      <c r="V14" s="268">
        <f t="shared" si="3"/>
        <v>0</v>
      </c>
      <c r="W14" s="268">
        <f>COUNTIFS(集積用!$I:$I,W$2,集積用!$E:$E,"&gt;="&amp;$C14,集積用!$E:$E,"&lt;="&amp;$D14)</f>
        <v>0</v>
      </c>
      <c r="X14" s="269">
        <f>SUMIFS(集積用!$S:$S,集積用!$K:$K,"&gt;="&amp;$C14,集積用!$K:$K,"&lt;="&amp;$D14,集積用!$H:$H,$X$1)</f>
        <v>0</v>
      </c>
      <c r="Y14" s="268">
        <f t="shared" si="4"/>
        <v>0</v>
      </c>
      <c r="Z14" s="268">
        <f>COUNTIFS(集積用!$T:$T,Z$2,集積用!$H:$H,$X$1,集積用!$K:$K,"&gt;="&amp;$C14,集積用!$K:$K,"&lt;="&amp;$D14)</f>
        <v>0</v>
      </c>
      <c r="AA14" s="227"/>
      <c r="AB14" s="227"/>
      <c r="AC14" s="227"/>
      <c r="AD14" s="227"/>
      <c r="AE14" s="227"/>
    </row>
    <row r="15" spans="2:31" ht="19.95" customHeight="1" x14ac:dyDescent="0.3">
      <c r="B15" s="425" t="s">
        <v>565</v>
      </c>
      <c r="C15" s="425"/>
      <c r="D15" s="425"/>
      <c r="E15" s="268">
        <f t="shared" ref="E15:R15" si="5">SUM(E3:E10)</f>
        <v>0</v>
      </c>
      <c r="F15" s="268">
        <f t="shared" si="5"/>
        <v>0</v>
      </c>
      <c r="G15" s="268">
        <f t="shared" si="5"/>
        <v>0</v>
      </c>
      <c r="H15" s="268">
        <f t="shared" si="5"/>
        <v>0</v>
      </c>
      <c r="I15" s="268">
        <f t="shared" si="5"/>
        <v>0</v>
      </c>
      <c r="J15" s="268">
        <f t="shared" si="5"/>
        <v>0</v>
      </c>
      <c r="K15" s="268">
        <f t="shared" si="5"/>
        <v>0</v>
      </c>
      <c r="L15" s="268">
        <f t="shared" si="5"/>
        <v>0</v>
      </c>
      <c r="M15" s="268">
        <f t="shared" si="5"/>
        <v>0</v>
      </c>
      <c r="N15" s="268">
        <f t="shared" si="5"/>
        <v>0</v>
      </c>
      <c r="O15" s="268">
        <f t="shared" si="5"/>
        <v>0</v>
      </c>
      <c r="P15" s="268">
        <f t="shared" si="5"/>
        <v>0</v>
      </c>
      <c r="Q15" s="268">
        <f t="shared" si="5"/>
        <v>0</v>
      </c>
      <c r="R15" s="268">
        <f t="shared" si="5"/>
        <v>0</v>
      </c>
      <c r="S15" s="268"/>
      <c r="T15" s="268">
        <f>SUM(T3:T10)</f>
        <v>0</v>
      </c>
      <c r="U15" s="268">
        <f>SUM(U3:U10)</f>
        <v>0</v>
      </c>
      <c r="V15" s="268"/>
      <c r="W15" s="268"/>
      <c r="X15" s="269"/>
      <c r="Y15" s="269"/>
      <c r="Z15" s="269"/>
      <c r="AA15" s="227"/>
      <c r="AB15" s="227"/>
      <c r="AC15" s="227"/>
      <c r="AD15" s="227"/>
      <c r="AE15" s="227"/>
    </row>
    <row r="24" spans="22:26" x14ac:dyDescent="0.3">
      <c r="V24" s="282" t="s">
        <v>563</v>
      </c>
      <c r="W24" s="286"/>
      <c r="X24" s="430">
        <v>44256</v>
      </c>
      <c r="Y24" s="431"/>
      <c r="Z24" s="228">
        <f>EOMONTH(X24,0)</f>
        <v>44286</v>
      </c>
    </row>
    <row r="25" spans="22:26" x14ac:dyDescent="0.3">
      <c r="V25" s="283" t="s">
        <v>590</v>
      </c>
      <c r="W25" s="283"/>
      <c r="X25" s="233" t="s">
        <v>118</v>
      </c>
      <c r="Y25" s="234" t="s">
        <v>117</v>
      </c>
      <c r="Z25" s="235" t="s">
        <v>564</v>
      </c>
    </row>
    <row r="26" spans="22:26" x14ac:dyDescent="0.3">
      <c r="V26" s="285" t="s">
        <v>587</v>
      </c>
      <c r="W26" s="285" t="s">
        <v>436</v>
      </c>
      <c r="X26" s="229">
        <f>COUNTIFS(集積用!$I:$I,$C26,集積用!$H:$H,#REF!,集積用!$E:$E,"&gt;="&amp;#REF!,集積用!$E:$E,"&lt;="&amp;#REF!)</f>
        <v>0</v>
      </c>
      <c r="Y26" s="232">
        <f>COUNTIFS(集積用!$I:$I,$C26,集積用!$H:$H,#REF!,集積用!$E:$E,"&gt;="&amp;#REF!,集積用!$E:$E,"&lt;="&amp;#REF!)</f>
        <v>0</v>
      </c>
      <c r="Z26" s="230">
        <f>SUMIFS(集積用!$S:$S,集積用!$I:$I,$C26,集積用!$E:$E,"&gt;="&amp;#REF!,集積用!$E:$E,"&lt;="&amp;#REF!,集積用!$H:$H,#REF!)</f>
        <v>0</v>
      </c>
    </row>
    <row r="27" spans="22:26" x14ac:dyDescent="0.3">
      <c r="V27" s="285"/>
      <c r="W27" s="285" t="s">
        <v>434</v>
      </c>
      <c r="X27" s="229">
        <f>COUNTIFS(集積用!$I:$I,$C27,集積用!$H:$H,#REF!,集積用!$E:$E,"&gt;="&amp;#REF!,集積用!$E:$E,"&lt;="&amp;#REF!)</f>
        <v>0</v>
      </c>
      <c r="Y27" s="232">
        <f>COUNTIFS(集積用!$I:$I,$C27,集積用!$H:$H,#REF!,集積用!$E:$E,"&gt;="&amp;#REF!,集積用!$E:$E,"&lt;="&amp;#REF!)</f>
        <v>0</v>
      </c>
      <c r="Z27" s="230">
        <f>SUMIFS(集積用!$S:$S,集積用!$I:$I,$C27,集積用!$E:$E,"&gt;="&amp;#REF!,集積用!$E:$E,"&lt;="&amp;#REF!,集積用!$H:$H,#REF!)</f>
        <v>0</v>
      </c>
    </row>
    <row r="28" spans="22:26" x14ac:dyDescent="0.3">
      <c r="V28" s="285"/>
      <c r="W28" s="285" t="s">
        <v>569</v>
      </c>
      <c r="X28" s="229">
        <f>COUNTIFS(集積用!$I:$I,$C28,集積用!$H:$H,#REF!,集積用!$E:$E,"&gt;="&amp;#REF!,集積用!$E:$E,"&lt;="&amp;#REF!)</f>
        <v>0</v>
      </c>
      <c r="Y28" s="232">
        <f>COUNTIFS(集積用!$I:$I,$C28,集積用!$H:$H,#REF!,集積用!$E:$E,"&gt;="&amp;#REF!,集積用!$E:$E,"&lt;="&amp;#REF!)</f>
        <v>0</v>
      </c>
      <c r="Z28" s="230">
        <f>SUMIFS(集積用!$S:$S,集積用!$I:$I,$C28,集積用!$E:$E,"&gt;="&amp;#REF!,集積用!$E:$E,"&lt;="&amp;#REF!,集積用!$H:$H,#REF!)</f>
        <v>0</v>
      </c>
    </row>
    <row r="29" spans="22:26" x14ac:dyDescent="0.3">
      <c r="V29" s="231" t="s">
        <v>588</v>
      </c>
      <c r="W29" s="231" t="s">
        <v>437</v>
      </c>
      <c r="X29" s="229">
        <f>COUNTIFS(集積用!$I:$I,$C29,集積用!$H:$H,#REF!,集積用!$E:$E,"&gt;="&amp;#REF!,集積用!$E:$E,"&lt;="&amp;#REF!)</f>
        <v>0</v>
      </c>
      <c r="Y29" s="232">
        <f>COUNTIFS(集積用!$I:$I,$C29,集積用!$H:$H,#REF!,集積用!$E:$E,"&gt;="&amp;#REF!,集積用!$E:$E,"&lt;="&amp;#REF!)</f>
        <v>0</v>
      </c>
      <c r="Z29" s="230">
        <f>SUMIFS(集積用!$S:$S,集積用!$I:$I,$C29,集積用!$E:$E,"&gt;="&amp;#REF!,集積用!$E:$E,"&lt;="&amp;#REF!,集積用!$H:$H,#REF!)</f>
        <v>0</v>
      </c>
    </row>
    <row r="30" spans="22:26" x14ac:dyDescent="0.3">
      <c r="V30" s="231"/>
      <c r="W30" s="231" t="s">
        <v>440</v>
      </c>
      <c r="X30" s="229">
        <f>COUNTIFS(集積用!$I:$I,$C30,集積用!$H:$H,#REF!,集積用!$E:$E,"&gt;="&amp;#REF!,集積用!$E:$E,"&lt;="&amp;#REF!)</f>
        <v>0</v>
      </c>
      <c r="Y30" s="232">
        <f>COUNTIFS(集積用!$I:$I,$C30,集積用!$H:$H,#REF!,集積用!$E:$E,"&gt;="&amp;#REF!,集積用!$E:$E,"&lt;="&amp;#REF!)</f>
        <v>0</v>
      </c>
      <c r="Z30" s="230">
        <f>SUMIFS(集積用!$S:$S,集積用!$I:$I,$C30,集積用!$E:$E,"&gt;="&amp;#REF!,集積用!$E:$E,"&lt;="&amp;#REF!,集積用!$H:$H,#REF!)</f>
        <v>0</v>
      </c>
    </row>
    <row r="31" spans="22:26" x14ac:dyDescent="0.3">
      <c r="V31" s="231"/>
      <c r="W31" s="231" t="s">
        <v>447</v>
      </c>
      <c r="X31" s="229">
        <f>COUNTIFS(集積用!$I:$I,$C31,集積用!$H:$H,#REF!,集積用!$E:$E,"&gt;="&amp;#REF!,集積用!$E:$E,"&lt;="&amp;#REF!)</f>
        <v>0</v>
      </c>
      <c r="Y31" s="232">
        <f>COUNTIFS(集積用!$I:$I,$C31,集積用!$H:$H,#REF!,集積用!$E:$E,"&gt;="&amp;#REF!,集積用!$E:$E,"&lt;="&amp;#REF!)</f>
        <v>0</v>
      </c>
      <c r="Z31" s="230">
        <f>SUMIFS(集積用!$S:$S,集積用!$I:$I,$C31,集積用!$E:$E,"&gt;="&amp;#REF!,集積用!$E:$E,"&lt;="&amp;#REF!,集積用!$H:$H,#REF!)</f>
        <v>0</v>
      </c>
    </row>
    <row r="32" spans="22:26" x14ac:dyDescent="0.3">
      <c r="V32" s="231"/>
      <c r="W32" s="231" t="s">
        <v>441</v>
      </c>
      <c r="X32" s="229">
        <f>COUNTIFS(集積用!$I:$I,$C32,集積用!$H:$H,#REF!,集積用!$E:$E,"&gt;="&amp;#REF!,集積用!$E:$E,"&lt;="&amp;#REF!)</f>
        <v>0</v>
      </c>
      <c r="Y32" s="232">
        <f>COUNTIFS(集積用!$I:$I,$C32,集積用!$H:$H,#REF!,集積用!$E:$E,"&gt;="&amp;#REF!,集積用!$E:$E,"&lt;="&amp;#REF!)</f>
        <v>0</v>
      </c>
      <c r="Z32" s="230">
        <f>SUMIFS(集積用!$S:$S,集積用!$I:$I,$C32,集積用!$E:$E,"&gt;="&amp;#REF!,集積用!$E:$E,"&lt;="&amp;#REF!,集積用!$H:$H,#REF!)</f>
        <v>0</v>
      </c>
    </row>
    <row r="33" spans="2:31" x14ac:dyDescent="0.3">
      <c r="V33" s="231"/>
      <c r="W33" s="231" t="s">
        <v>556</v>
      </c>
      <c r="X33" s="229">
        <f>COUNTIFS(集積用!$I:$I,$C33,集積用!$H:$H,#REF!,集積用!$E:$E,"&gt;="&amp;#REF!,集積用!$E:$E,"&lt;="&amp;#REF!)</f>
        <v>0</v>
      </c>
      <c r="Y33" s="232">
        <f>COUNTIFS(集積用!$I:$I,$C33,集積用!$H:$H,#REF!,集積用!$E:$E,"&gt;="&amp;#REF!,集積用!$E:$E,"&lt;="&amp;#REF!)</f>
        <v>0</v>
      </c>
      <c r="Z33" s="230">
        <f>SUMIFS(集積用!$S:$S,集積用!$I:$I,$C33,集積用!$E:$E,"&gt;="&amp;#REF!,集積用!$E:$E,"&lt;="&amp;#REF!,集積用!$H:$H,#REF!)</f>
        <v>0</v>
      </c>
    </row>
    <row r="34" spans="2:31" x14ac:dyDescent="0.3">
      <c r="V34" s="231"/>
      <c r="W34" s="231" t="s">
        <v>536</v>
      </c>
      <c r="X34" s="229">
        <f>COUNTIFS(集積用!$I:$I,$C34,集積用!$H:$H,#REF!,集積用!$E:$E,"&gt;="&amp;#REF!,集積用!$E:$E,"&lt;="&amp;#REF!)</f>
        <v>0</v>
      </c>
      <c r="Y34" s="232">
        <f>COUNTIFS(集積用!$I:$I,$C34,集積用!$H:$H,#REF!,集積用!$E:$E,"&gt;="&amp;#REF!,集積用!$E:$E,"&lt;="&amp;#REF!)</f>
        <v>0</v>
      </c>
      <c r="Z34" s="230">
        <f>SUMIFS(集積用!$S:$S,集積用!$I:$I,$C34,集積用!$E:$E,"&gt;="&amp;#REF!,集積用!$E:$E,"&lt;="&amp;#REF!,集積用!$H:$H,#REF!)</f>
        <v>0</v>
      </c>
    </row>
    <row r="35" spans="2:31" x14ac:dyDescent="0.3">
      <c r="V35" s="231" t="s">
        <v>589</v>
      </c>
      <c r="W35" s="231" t="s">
        <v>591</v>
      </c>
      <c r="X35" s="229">
        <f>COUNTIFS(集積用!$I:$I,$C35,集積用!$H:$H,#REF!,集積用!$E:$E,"&gt;="&amp;#REF!,集積用!$E:$E,"&lt;="&amp;#REF!)</f>
        <v>0</v>
      </c>
      <c r="Y35" s="232">
        <f>COUNTIFS(集積用!$I:$I,$C35,集積用!$H:$H,#REF!,集積用!$E:$E,"&gt;="&amp;#REF!,集積用!$E:$E,"&lt;="&amp;#REF!)</f>
        <v>0</v>
      </c>
      <c r="Z35" s="230">
        <f>SUMIFS(集積用!$S:$S,集積用!$I:$I,$C35,集積用!$E:$E,"&gt;="&amp;#REF!,集積用!$E:$E,"&lt;="&amp;#REF!,集積用!$H:$H,#REF!)</f>
        <v>0</v>
      </c>
    </row>
    <row r="36" spans="2:31" x14ac:dyDescent="0.3">
      <c r="V36" s="231"/>
      <c r="W36" s="231" t="s">
        <v>593</v>
      </c>
      <c r="X36" s="229">
        <f>COUNTIFS(集積用!$I:$I,$C36,集積用!$H:$H,#REF!,集積用!$E:$E,"&gt;="&amp;#REF!,集積用!$E:$E,"&lt;="&amp;#REF!)</f>
        <v>0</v>
      </c>
      <c r="Y36" s="232">
        <f>COUNTIFS(集積用!$I:$I,$C36,集積用!$H:$H,#REF!,集積用!$E:$E,"&gt;="&amp;#REF!,集積用!$E:$E,"&lt;="&amp;#REF!)</f>
        <v>0</v>
      </c>
      <c r="Z36" s="230">
        <f>SUMIFS(集積用!$S:$S,集積用!$I:$I,$C36,集積用!$E:$E,"&gt;="&amp;#REF!,集積用!$E:$E,"&lt;="&amp;#REF!,集積用!$H:$H,#REF!)</f>
        <v>0</v>
      </c>
    </row>
    <row r="37" spans="2:31" x14ac:dyDescent="0.3">
      <c r="V37" s="231"/>
      <c r="W37" s="231" t="s">
        <v>592</v>
      </c>
      <c r="X37" s="229">
        <f>COUNTIFS(集積用!$I:$I,$C37,集積用!$H:$H,#REF!,集積用!$E:$E,"&gt;="&amp;#REF!,集積用!$E:$E,"&lt;="&amp;#REF!)</f>
        <v>0</v>
      </c>
      <c r="Y37" s="232">
        <f>COUNTIFS(集積用!$I:$I,$C37,集積用!$H:$H,#REF!,集積用!$E:$E,"&gt;="&amp;#REF!,集積用!$E:$E,"&lt;="&amp;#REF!)</f>
        <v>0</v>
      </c>
      <c r="Z37" s="230">
        <f>SUMIFS(集積用!$S:$S,集積用!$I:$I,$C37,集積用!$E:$E,"&gt;="&amp;#REF!,集積用!$E:$E,"&lt;="&amp;#REF!,集積用!$H:$H,#REF!)</f>
        <v>0</v>
      </c>
    </row>
    <row r="38" spans="2:31" x14ac:dyDescent="0.3">
      <c r="V38" s="231"/>
      <c r="W38" s="231" t="s">
        <v>433</v>
      </c>
      <c r="X38" s="229">
        <f>COUNTIFS(集積用!$I:$I,$C38,集積用!$H:$H,#REF!,集積用!$E:$E,"&gt;="&amp;#REF!,集積用!$E:$E,"&lt;="&amp;#REF!)</f>
        <v>0</v>
      </c>
      <c r="Y38" s="232">
        <f>COUNTIFS(集積用!$I:$I,$C38,集積用!$H:$H,#REF!,集積用!$E:$E,"&gt;="&amp;#REF!,集積用!$E:$E,"&lt;="&amp;#REF!)</f>
        <v>0</v>
      </c>
      <c r="Z38" s="230">
        <f>SUMIFS(集積用!$S:$S,集積用!$I:$I,$C38,集積用!$E:$E,"&gt;="&amp;#REF!,集積用!$E:$E,"&lt;="&amp;#REF!,集積用!$H:$H,#REF!)</f>
        <v>0</v>
      </c>
    </row>
    <row r="39" spans="2:31" x14ac:dyDescent="0.3">
      <c r="V39" s="231"/>
      <c r="W39" s="231" t="s">
        <v>435</v>
      </c>
      <c r="X39" s="229">
        <f>COUNTIFS(集積用!$I:$I,$C39,集積用!$H:$H,#REF!,集積用!$E:$E,"&gt;="&amp;#REF!,集積用!$E:$E,"&lt;="&amp;#REF!)</f>
        <v>0</v>
      </c>
      <c r="Y39" s="232">
        <f>COUNTIFS(集積用!$I:$I,$C39,集積用!$H:$H,#REF!,集積用!$E:$E,"&gt;="&amp;#REF!,集積用!$E:$E,"&lt;="&amp;#REF!)</f>
        <v>0</v>
      </c>
      <c r="Z39" s="230">
        <f>SUMIFS(集積用!$S:$S,集積用!$I:$I,$C39,集積用!$E:$E,"&gt;="&amp;#REF!,集積用!$E:$E,"&lt;="&amp;#REF!,集積用!$H:$H,#REF!)</f>
        <v>0</v>
      </c>
    </row>
    <row r="40" spans="2:31" x14ac:dyDescent="0.3">
      <c r="V40" s="231"/>
      <c r="W40" s="231" t="s">
        <v>438</v>
      </c>
      <c r="X40" s="229">
        <f>COUNTIFS(集積用!$I:$I,$C40,集積用!$H:$H,#REF!,集積用!$E:$E,"&gt;="&amp;#REF!,集積用!$E:$E,"&lt;="&amp;#REF!)</f>
        <v>0</v>
      </c>
      <c r="Y40" s="232">
        <f>COUNTIFS(集積用!$I:$I,$C40,集積用!$H:$H,#REF!,集積用!$E:$E,"&gt;="&amp;#REF!,集積用!$E:$E,"&lt;="&amp;#REF!)</f>
        <v>0</v>
      </c>
      <c r="Z40" s="230">
        <f>SUMIFS(集積用!$S:$S,集積用!$I:$I,$C40,集積用!$E:$E,"&gt;="&amp;#REF!,集積用!$E:$E,"&lt;="&amp;#REF!,集積用!$H:$H,#REF!)</f>
        <v>0</v>
      </c>
    </row>
    <row r="41" spans="2:31" ht="16.2" x14ac:dyDescent="0.3">
      <c r="V41" s="284" t="s">
        <v>565</v>
      </c>
      <c r="W41" s="284"/>
      <c r="X41" s="236">
        <f>SUM(X26:X40)</f>
        <v>0</v>
      </c>
      <c r="Y41" s="236">
        <f>SUM(Y26:Y40)</f>
        <v>0</v>
      </c>
      <c r="Z41" s="287">
        <f>SUM(Z26:Z40)</f>
        <v>0</v>
      </c>
    </row>
    <row r="44" spans="2:31" ht="25.2" customHeight="1" x14ac:dyDescent="0.3">
      <c r="B44" s="427"/>
      <c r="C44" s="428"/>
      <c r="D44" s="429"/>
      <c r="E44" s="254" t="s">
        <v>238</v>
      </c>
      <c r="F44" s="255" t="s">
        <v>239</v>
      </c>
      <c r="G44" s="256" t="s">
        <v>240</v>
      </c>
      <c r="H44" s="257" t="s">
        <v>241</v>
      </c>
      <c r="I44" s="257" t="s">
        <v>242</v>
      </c>
      <c r="J44" s="257" t="s">
        <v>243</v>
      </c>
      <c r="K44" s="258" t="s">
        <v>245</v>
      </c>
      <c r="L44" s="259" t="s">
        <v>246</v>
      </c>
      <c r="M44" s="260" t="s">
        <v>247</v>
      </c>
      <c r="N44" s="257" t="s">
        <v>248</v>
      </c>
      <c r="O44" s="261" t="s">
        <v>249</v>
      </c>
      <c r="P44" s="262" t="s">
        <v>533</v>
      </c>
      <c r="Q44" s="262" t="s">
        <v>556</v>
      </c>
      <c r="R44" s="263" t="s">
        <v>569</v>
      </c>
      <c r="S44" s="263"/>
      <c r="T44" s="263" t="s">
        <v>144</v>
      </c>
      <c r="U44" s="263" t="s">
        <v>144</v>
      </c>
      <c r="V44" s="280" t="s">
        <v>585</v>
      </c>
      <c r="W44" s="264" t="s">
        <v>244</v>
      </c>
      <c r="X44" s="281" t="s">
        <v>564</v>
      </c>
      <c r="Y44" s="305" t="s">
        <v>565</v>
      </c>
      <c r="Z44" s="265" t="s">
        <v>439</v>
      </c>
      <c r="AA44" s="266"/>
      <c r="AB44" s="266"/>
      <c r="AC44" s="266"/>
      <c r="AD44" s="266"/>
      <c r="AE44" s="266"/>
    </row>
    <row r="45" spans="2:31" s="64" customFormat="1" ht="19.95" customHeight="1" x14ac:dyDescent="0.3">
      <c r="B45" s="265" t="s">
        <v>570</v>
      </c>
      <c r="C45" s="267">
        <v>43983</v>
      </c>
      <c r="D45" s="267">
        <f>EOMONTH(C45,0)</f>
        <v>44012</v>
      </c>
      <c r="E45" s="268">
        <f>COUNTIFS(集積用!$I:$I,E$2,集積用!$K:$K,"&gt;="&amp;$C45,集積用!$K:$K,"&lt;="&amp;$D45)</f>
        <v>0</v>
      </c>
      <c r="F45" s="268">
        <f>COUNTIFS(集積用!$I:$I,F$2,集積用!$K:$K,"&gt;="&amp;$C45,集積用!$K:$K,"&lt;="&amp;$D45)</f>
        <v>0</v>
      </c>
      <c r="G45" s="268">
        <f>COUNTIFS(集積用!$I:$I,G$2,集積用!$K:$K,"&gt;="&amp;$C45,集積用!$K:$K,"&lt;="&amp;$D45)</f>
        <v>0</v>
      </c>
      <c r="H45" s="268">
        <f>COUNTIFS(集積用!$I:$I,H$2,集積用!$K:$K,"&gt;="&amp;$C45,集積用!$K:$K,"&lt;="&amp;$D45)</f>
        <v>0</v>
      </c>
      <c r="I45" s="268">
        <f>COUNTIFS(集積用!$I:$I,I$2,集積用!$K:$K,"&gt;="&amp;$C45,集積用!$K:$K,"&lt;="&amp;$D45)</f>
        <v>0</v>
      </c>
      <c r="J45" s="268">
        <f>COUNTIFS(集積用!$I:$I,J$2,集積用!$K:$K,"&gt;="&amp;$C45,集積用!$K:$K,"&lt;="&amp;$D45)</f>
        <v>0</v>
      </c>
      <c r="K45" s="268">
        <f>COUNTIFS(集積用!$I:$I,K$2,集積用!$K:$K,"&gt;="&amp;$C45,集積用!$K:$K,"&lt;="&amp;$D45)</f>
        <v>0</v>
      </c>
      <c r="L45" s="268">
        <f>COUNTIFS(集積用!$I:$I,L$2,集積用!$K:$K,"&gt;="&amp;$C45,集積用!$K:$K,"&lt;="&amp;$D45)</f>
        <v>0</v>
      </c>
      <c r="M45" s="268">
        <f>COUNTIFS(集積用!$I:$I,M$2,集積用!$K:$K,"&gt;="&amp;$C45,集積用!$K:$K,"&lt;="&amp;$D45)</f>
        <v>0</v>
      </c>
      <c r="N45" s="268">
        <f>COUNTIFS(集積用!$I:$I,N$2,集積用!$K:$K,"&gt;="&amp;$C45,集積用!$K:$K,"&lt;="&amp;$D45)</f>
        <v>0</v>
      </c>
      <c r="O45" s="268">
        <f>COUNTIFS(集積用!$I:$I,O$2,集積用!$K:$K,"&gt;="&amp;$C45,集積用!$K:$K,"&lt;="&amp;$D45)</f>
        <v>0</v>
      </c>
      <c r="P45" s="268">
        <f>COUNTIFS(集積用!$I:$I,P$2,集積用!$K:$K,"&gt;="&amp;$C45,集積用!$K:$K,"&lt;="&amp;$D45)</f>
        <v>0</v>
      </c>
      <c r="Q45" s="268">
        <f>COUNTIFS(集積用!$I:$I,Q$2,集積用!$K:$K,"&gt;="&amp;$C45,集積用!$K:$K,"&lt;="&amp;$D45)</f>
        <v>0</v>
      </c>
      <c r="R45" s="268">
        <f>COUNTIFS(集積用!$I:$I,R$2,集積用!$K:$K,"&gt;="&amp;$C45,集積用!$K:$K,"&lt;="&amp;$D45)</f>
        <v>0</v>
      </c>
      <c r="S45" s="268"/>
      <c r="T45" s="268">
        <f>COUNTIFS(集積用!$I:$I,T$2,集積用!$K:$K,"&gt;="&amp;$C45,集積用!$K:$K,"&lt;="&amp;$D45)</f>
        <v>0</v>
      </c>
      <c r="U45" s="268">
        <f>COUNTIFS(集積用!$I:$I,U$2,集積用!$K:$K,"&gt;="&amp;$C45,集積用!$K:$K,"&lt;="&amp;$D45)</f>
        <v>0</v>
      </c>
      <c r="V45" s="268">
        <f>SUM(E45:U45)</f>
        <v>0</v>
      </c>
      <c r="W45" s="268">
        <f>COUNTIFS(集積用!$I:$I,W$2,集積用!$K:$K,"&gt;="&amp;$C45,集積用!$K:$K,"&lt;="&amp;$D45)</f>
        <v>0</v>
      </c>
      <c r="X45" s="269">
        <f>SUMIFS(集積用!$S:$S,集積用!$K:$K,"&gt;="&amp;$C45,集積用!$K:$K,"&lt;="&amp;$D45,集積用!$H:$H,$X$1)</f>
        <v>0</v>
      </c>
      <c r="Y45" s="268">
        <f>SUM($E45:$W45)</f>
        <v>0</v>
      </c>
      <c r="Z45" s="268">
        <f>COUNTIFS(集積用!$T:$T,Z$2,集積用!$H:$H,$X$1,集積用!$K:$K,"&gt;="&amp;$C45,集積用!$K:$K,"&lt;="&amp;$D45)</f>
        <v>0</v>
      </c>
      <c r="AA45" s="227"/>
      <c r="AB45" s="227"/>
      <c r="AC45" s="227"/>
      <c r="AD45" s="227"/>
      <c r="AE45" s="227"/>
    </row>
    <row r="46" spans="2:31" s="64" customFormat="1" ht="19.95" customHeight="1" x14ac:dyDescent="0.3">
      <c r="B46" s="265" t="s">
        <v>571</v>
      </c>
      <c r="C46" s="267">
        <v>44013</v>
      </c>
      <c r="D46" s="267">
        <f t="shared" ref="D46:D50" si="6">EOMONTH(C46,0)</f>
        <v>44043</v>
      </c>
      <c r="E46" s="268">
        <f>COUNTIFS(集積用!$I:$I,E$2,集積用!$K:$K,"&gt;="&amp;$C46,集積用!$K:$K,"&lt;="&amp;$D46)</f>
        <v>0</v>
      </c>
      <c r="F46" s="268">
        <f>COUNTIFS(集積用!$I:$I,F$2,集積用!$K:$K,"&gt;="&amp;$C46,集積用!$K:$K,"&lt;="&amp;$D46)</f>
        <v>0</v>
      </c>
      <c r="G46" s="268">
        <f>COUNTIFS(集積用!$I:$I,G$2,集積用!$K:$K,"&gt;="&amp;$C46,集積用!$K:$K,"&lt;="&amp;$D46)</f>
        <v>0</v>
      </c>
      <c r="H46" s="268">
        <f>COUNTIFS(集積用!$I:$I,H$2,集積用!$K:$K,"&gt;="&amp;$C46,集積用!$K:$K,"&lt;="&amp;$D46)</f>
        <v>0</v>
      </c>
      <c r="I46" s="268">
        <f>COUNTIFS(集積用!$I:$I,I$2,集積用!$K:$K,"&gt;="&amp;$C46,集積用!$K:$K,"&lt;="&amp;$D46)</f>
        <v>0</v>
      </c>
      <c r="J46" s="268">
        <f>COUNTIFS(集積用!$I:$I,J$2,集積用!$K:$K,"&gt;="&amp;$C46,集積用!$K:$K,"&lt;="&amp;$D46)</f>
        <v>0</v>
      </c>
      <c r="K46" s="268">
        <f>COUNTIFS(集積用!$I:$I,K$2,集積用!$K:$K,"&gt;="&amp;$C46,集積用!$K:$K,"&lt;="&amp;$D46)</f>
        <v>0</v>
      </c>
      <c r="L46" s="268">
        <f>COUNTIFS(集積用!$I:$I,L$2,集積用!$K:$K,"&gt;="&amp;$C46,集積用!$K:$K,"&lt;="&amp;$D46)</f>
        <v>0</v>
      </c>
      <c r="M46" s="268">
        <f>COUNTIFS(集積用!$I:$I,M$2,集積用!$K:$K,"&gt;="&amp;$C46,集積用!$K:$K,"&lt;="&amp;$D46)</f>
        <v>0</v>
      </c>
      <c r="N46" s="268">
        <f>COUNTIFS(集積用!$I:$I,N$2,集積用!$K:$K,"&gt;="&amp;$C46,集積用!$K:$K,"&lt;="&amp;$D46)</f>
        <v>0</v>
      </c>
      <c r="O46" s="268">
        <f>COUNTIFS(集積用!$I:$I,O$2,集積用!$K:$K,"&gt;="&amp;$C46,集積用!$K:$K,"&lt;="&amp;$D46)</f>
        <v>0</v>
      </c>
      <c r="P46" s="268">
        <f>COUNTIFS(集積用!$I:$I,P$2,集積用!$K:$K,"&gt;="&amp;$C46,集積用!$K:$K,"&lt;="&amp;$D46)</f>
        <v>0</v>
      </c>
      <c r="Q46" s="268">
        <f>COUNTIFS(集積用!$I:$I,Q$2,集積用!$K:$K,"&gt;="&amp;$C46,集積用!$K:$K,"&lt;="&amp;$D46)</f>
        <v>0</v>
      </c>
      <c r="R46" s="268">
        <f>COUNTIFS(集積用!$I:$I,R$2,集積用!$K:$K,"&gt;="&amp;$C46,集積用!$K:$K,"&lt;="&amp;$D46)</f>
        <v>0</v>
      </c>
      <c r="S46" s="268"/>
      <c r="T46" s="268">
        <f>COUNTIFS(集積用!$I:$I,T$2,集積用!$K:$K,"&gt;="&amp;$C46,集積用!$K:$K,"&lt;="&amp;$D46)</f>
        <v>0</v>
      </c>
      <c r="U46" s="268">
        <f>COUNTIFS(集積用!$I:$I,U$2,集積用!$K:$K,"&gt;="&amp;$C46,集積用!$K:$K,"&lt;="&amp;$D46)</f>
        <v>0</v>
      </c>
      <c r="V46" s="268">
        <f t="shared" ref="V46:V55" si="7">SUM(E46:U46)</f>
        <v>0</v>
      </c>
      <c r="W46" s="268">
        <f>COUNTIFS(集積用!$I:$I,W$2,集積用!$K:$K,"&gt;="&amp;$C46,集積用!$K:$K,"&lt;="&amp;$D46)</f>
        <v>0</v>
      </c>
      <c r="X46" s="269">
        <f>SUMIFS(集積用!$S:$S,集積用!$K:$K,"&gt;="&amp;$C46,集積用!$K:$K,"&lt;="&amp;$D46,集積用!$H:$H,$X$1)</f>
        <v>0</v>
      </c>
      <c r="Y46" s="268">
        <f t="shared" ref="Y46:Y55" si="8">SUM($E46:$W46)</f>
        <v>0</v>
      </c>
      <c r="Z46" s="268">
        <f>COUNTIFS(集積用!$T:$T,Z$2,集積用!$H:$H,$X$1,集積用!$K:$K,"&gt;="&amp;$C46,集積用!$K:$K,"&lt;="&amp;$D46)</f>
        <v>0</v>
      </c>
      <c r="AA46" s="227"/>
      <c r="AB46" s="227"/>
      <c r="AC46" s="227"/>
      <c r="AD46" s="227"/>
      <c r="AE46" s="227"/>
    </row>
    <row r="47" spans="2:31" s="64" customFormat="1" ht="19.95" customHeight="1" x14ac:dyDescent="0.3">
      <c r="B47" s="265" t="s">
        <v>572</v>
      </c>
      <c r="C47" s="267">
        <v>44044</v>
      </c>
      <c r="D47" s="267">
        <f t="shared" si="6"/>
        <v>44074</v>
      </c>
      <c r="E47" s="268">
        <f>COUNTIFS(集積用!$I:$I,E$2,集積用!$K:$K,"&gt;="&amp;$C47,集積用!$K:$K,"&lt;="&amp;$D47)</f>
        <v>0</v>
      </c>
      <c r="F47" s="268">
        <f>COUNTIFS(集積用!$I:$I,F$2,集積用!$K:$K,"&gt;="&amp;$C47,集積用!$K:$K,"&lt;="&amp;$D47)</f>
        <v>0</v>
      </c>
      <c r="G47" s="268">
        <f>COUNTIFS(集積用!$I:$I,G$2,集積用!$K:$K,"&gt;="&amp;$C47,集積用!$K:$K,"&lt;="&amp;$D47)</f>
        <v>0</v>
      </c>
      <c r="H47" s="268">
        <f>COUNTIFS(集積用!$I:$I,H$2,集積用!$K:$K,"&gt;="&amp;$C47,集積用!$K:$K,"&lt;="&amp;$D47)</f>
        <v>0</v>
      </c>
      <c r="I47" s="268">
        <f>COUNTIFS(集積用!$I:$I,I$2,集積用!$K:$K,"&gt;="&amp;$C47,集積用!$K:$K,"&lt;="&amp;$D47)</f>
        <v>0</v>
      </c>
      <c r="J47" s="268">
        <f>COUNTIFS(集積用!$I:$I,J$2,集積用!$K:$K,"&gt;="&amp;$C47,集積用!$K:$K,"&lt;="&amp;$D47)</f>
        <v>0</v>
      </c>
      <c r="K47" s="268">
        <f>COUNTIFS(集積用!$I:$I,K$2,集積用!$K:$K,"&gt;="&amp;$C47,集積用!$K:$K,"&lt;="&amp;$D47)</f>
        <v>0</v>
      </c>
      <c r="L47" s="268">
        <f>COUNTIFS(集積用!$I:$I,L$2,集積用!$K:$K,"&gt;="&amp;$C47,集積用!$K:$K,"&lt;="&amp;$D47)</f>
        <v>0</v>
      </c>
      <c r="M47" s="268">
        <f>COUNTIFS(集積用!$I:$I,M$2,集積用!$K:$K,"&gt;="&amp;$C47,集積用!$K:$K,"&lt;="&amp;$D47)</f>
        <v>0</v>
      </c>
      <c r="N47" s="268">
        <f>COUNTIFS(集積用!$I:$I,N$2,集積用!$K:$K,"&gt;="&amp;$C47,集積用!$K:$K,"&lt;="&amp;$D47)</f>
        <v>0</v>
      </c>
      <c r="O47" s="268">
        <f>COUNTIFS(集積用!$I:$I,O$2,集積用!$K:$K,"&gt;="&amp;$C47,集積用!$K:$K,"&lt;="&amp;$D47)</f>
        <v>0</v>
      </c>
      <c r="P47" s="268">
        <f>COUNTIFS(集積用!$I:$I,P$2,集積用!$K:$K,"&gt;="&amp;$C47,集積用!$K:$K,"&lt;="&amp;$D47)</f>
        <v>0</v>
      </c>
      <c r="Q47" s="268">
        <f>COUNTIFS(集積用!$I:$I,Q$2,集積用!$K:$K,"&gt;="&amp;$C47,集積用!$K:$K,"&lt;="&amp;$D47)</f>
        <v>0</v>
      </c>
      <c r="R47" s="268">
        <f>COUNTIFS(集積用!$I:$I,R$2,集積用!$K:$K,"&gt;="&amp;$C47,集積用!$K:$K,"&lt;="&amp;$D47)</f>
        <v>0</v>
      </c>
      <c r="S47" s="268"/>
      <c r="T47" s="268">
        <f>COUNTIFS(集積用!$I:$I,T$2,集積用!$K:$K,"&gt;="&amp;$C47,集積用!$K:$K,"&lt;="&amp;$D47)</f>
        <v>0</v>
      </c>
      <c r="U47" s="268">
        <f>COUNTIFS(集積用!$I:$I,U$2,集積用!$K:$K,"&gt;="&amp;$C47,集積用!$K:$K,"&lt;="&amp;$D47)</f>
        <v>0</v>
      </c>
      <c r="V47" s="268">
        <f t="shared" si="7"/>
        <v>0</v>
      </c>
      <c r="W47" s="268">
        <f>COUNTIFS(集積用!$I:$I,W$2,集積用!$K:$K,"&gt;="&amp;$C47,集積用!$K:$K,"&lt;="&amp;$D47)</f>
        <v>0</v>
      </c>
      <c r="X47" s="269">
        <f>SUMIFS(集積用!$S:$S,集積用!$K:$K,"&gt;="&amp;$C47,集積用!$K:$K,"&lt;="&amp;$D47,集積用!$H:$H,$X$1)</f>
        <v>0</v>
      </c>
      <c r="Y47" s="268">
        <f t="shared" si="8"/>
        <v>0</v>
      </c>
      <c r="Z47" s="268">
        <f>COUNTIFS(集積用!$T:$T,Z$2,集積用!$H:$H,$X$1,集積用!$K:$K,"&gt;="&amp;$C47,集積用!$K:$K,"&lt;="&amp;$D47)</f>
        <v>0</v>
      </c>
      <c r="AA47" s="227"/>
      <c r="AB47" s="227"/>
      <c r="AC47" s="227"/>
      <c r="AD47" s="227"/>
      <c r="AE47" s="227"/>
    </row>
    <row r="48" spans="2:31" s="64" customFormat="1" ht="19.95" customHeight="1" x14ac:dyDescent="0.3">
      <c r="B48" s="265" t="s">
        <v>573</v>
      </c>
      <c r="C48" s="267">
        <v>44075</v>
      </c>
      <c r="D48" s="267">
        <f t="shared" si="6"/>
        <v>44104</v>
      </c>
      <c r="E48" s="268">
        <f>COUNTIFS(集積用!$I:$I,E$2,集積用!$K:$K,"&gt;="&amp;$C48,集積用!$K:$K,"&lt;="&amp;$D48)</f>
        <v>0</v>
      </c>
      <c r="F48" s="268">
        <f>COUNTIFS(集積用!$I:$I,F$2,集積用!$K:$K,"&gt;="&amp;$C48,集積用!$K:$K,"&lt;="&amp;$D48)</f>
        <v>0</v>
      </c>
      <c r="G48" s="268">
        <f>COUNTIFS(集積用!$I:$I,G$2,集積用!$K:$K,"&gt;="&amp;$C48,集積用!$K:$K,"&lt;="&amp;$D48)</f>
        <v>0</v>
      </c>
      <c r="H48" s="268">
        <f>COUNTIFS(集積用!$I:$I,H$2,集積用!$K:$K,"&gt;="&amp;$C48,集積用!$K:$K,"&lt;="&amp;$D48)</f>
        <v>0</v>
      </c>
      <c r="I48" s="268">
        <f>COUNTIFS(集積用!$I:$I,I$2,集積用!$K:$K,"&gt;="&amp;$C48,集積用!$K:$K,"&lt;="&amp;$D48)</f>
        <v>0</v>
      </c>
      <c r="J48" s="268">
        <f>COUNTIFS(集積用!$I:$I,J$2,集積用!$K:$K,"&gt;="&amp;$C48,集積用!$K:$K,"&lt;="&amp;$D48)</f>
        <v>0</v>
      </c>
      <c r="K48" s="268">
        <f>COUNTIFS(集積用!$I:$I,K$2,集積用!$K:$K,"&gt;="&amp;$C48,集積用!$K:$K,"&lt;="&amp;$D48)</f>
        <v>0</v>
      </c>
      <c r="L48" s="268">
        <f>COUNTIFS(集積用!$I:$I,L$2,集積用!$K:$K,"&gt;="&amp;$C48,集積用!$K:$K,"&lt;="&amp;$D48)</f>
        <v>0</v>
      </c>
      <c r="M48" s="268">
        <f>COUNTIFS(集積用!$I:$I,M$2,集積用!$K:$K,"&gt;="&amp;$C48,集積用!$K:$K,"&lt;="&amp;$D48)</f>
        <v>0</v>
      </c>
      <c r="N48" s="268">
        <f>COUNTIFS(集積用!$I:$I,N$2,集積用!$K:$K,"&gt;="&amp;$C48,集積用!$K:$K,"&lt;="&amp;$D48)</f>
        <v>0</v>
      </c>
      <c r="O48" s="268">
        <f>COUNTIFS(集積用!$I:$I,O$2,集積用!$K:$K,"&gt;="&amp;$C48,集積用!$K:$K,"&lt;="&amp;$D48)</f>
        <v>0</v>
      </c>
      <c r="P48" s="268">
        <f>COUNTIFS(集積用!$I:$I,P$2,集積用!$K:$K,"&gt;="&amp;$C48,集積用!$K:$K,"&lt;="&amp;$D48)</f>
        <v>0</v>
      </c>
      <c r="Q48" s="268">
        <f>COUNTIFS(集積用!$I:$I,Q$2,集積用!$K:$K,"&gt;="&amp;$C48,集積用!$K:$K,"&lt;="&amp;$D48)</f>
        <v>0</v>
      </c>
      <c r="R48" s="268">
        <f>COUNTIFS(集積用!$I:$I,R$2,集積用!$K:$K,"&gt;="&amp;$C48,集積用!$K:$K,"&lt;="&amp;$D48)</f>
        <v>0</v>
      </c>
      <c r="S48" s="268"/>
      <c r="T48" s="268">
        <f>COUNTIFS(集積用!$I:$I,T$2,集積用!$K:$K,"&gt;="&amp;$C48,集積用!$K:$K,"&lt;="&amp;$D48)</f>
        <v>0</v>
      </c>
      <c r="U48" s="268">
        <f>COUNTIFS(集積用!$I:$I,U$2,集積用!$K:$K,"&gt;="&amp;$C48,集積用!$K:$K,"&lt;="&amp;$D48)</f>
        <v>0</v>
      </c>
      <c r="V48" s="268">
        <f t="shared" si="7"/>
        <v>0</v>
      </c>
      <c r="W48" s="268">
        <f>COUNTIFS(集積用!$I:$I,W$2,集積用!$K:$K,"&gt;="&amp;$C48,集積用!$K:$K,"&lt;="&amp;$D48)</f>
        <v>0</v>
      </c>
      <c r="X48" s="269">
        <f>SUMIFS(集積用!$S:$S,集積用!$K:$K,"&gt;="&amp;$C48,集積用!$K:$K,"&lt;="&amp;$D48,集積用!$H:$H,$X$1)</f>
        <v>0</v>
      </c>
      <c r="Y48" s="268">
        <f t="shared" si="8"/>
        <v>0</v>
      </c>
      <c r="Z48" s="268">
        <f>COUNTIFS(集積用!$T:$T,Z$2,集積用!$H:$H,$X$1,集積用!$K:$K,"&gt;="&amp;$C48,集積用!$K:$K,"&lt;="&amp;$D48)</f>
        <v>0</v>
      </c>
      <c r="AA48" s="227"/>
      <c r="AB48" s="227"/>
      <c r="AC48" s="227"/>
      <c r="AD48" s="227"/>
      <c r="AE48" s="227"/>
    </row>
    <row r="49" spans="2:31" ht="19.95" customHeight="1" x14ac:dyDescent="0.3">
      <c r="B49" s="265" t="s">
        <v>574</v>
      </c>
      <c r="C49" s="267">
        <v>44105</v>
      </c>
      <c r="D49" s="267">
        <f t="shared" si="6"/>
        <v>44135</v>
      </c>
      <c r="E49" s="268">
        <f>COUNTIFS(集積用!$I:$I,E$2,集積用!$K:$K,"&gt;="&amp;$C49,集積用!$K:$K,"&lt;="&amp;$D49)</f>
        <v>0</v>
      </c>
      <c r="F49" s="268">
        <f>COUNTIFS(集積用!$I:$I,F$2,集積用!$K:$K,"&gt;="&amp;$C49,集積用!$K:$K,"&lt;="&amp;$D49)</f>
        <v>0</v>
      </c>
      <c r="G49" s="268">
        <f>COUNTIFS(集積用!$I:$I,G$2,集積用!$K:$K,"&gt;="&amp;$C49,集積用!$K:$K,"&lt;="&amp;$D49)</f>
        <v>0</v>
      </c>
      <c r="H49" s="268">
        <f>COUNTIFS(集積用!$I:$I,H$2,集積用!$K:$K,"&gt;="&amp;$C49,集積用!$K:$K,"&lt;="&amp;$D49)</f>
        <v>0</v>
      </c>
      <c r="I49" s="268">
        <f>COUNTIFS(集積用!$I:$I,I$2,集積用!$K:$K,"&gt;="&amp;$C49,集積用!$K:$K,"&lt;="&amp;$D49)</f>
        <v>0</v>
      </c>
      <c r="J49" s="268">
        <f>COUNTIFS(集積用!$I:$I,J$2,集積用!$K:$K,"&gt;="&amp;$C49,集積用!$K:$K,"&lt;="&amp;$D49)</f>
        <v>0</v>
      </c>
      <c r="K49" s="268">
        <f>COUNTIFS(集積用!$I:$I,K$2,集積用!$K:$K,"&gt;="&amp;$C49,集積用!$K:$K,"&lt;="&amp;$D49)</f>
        <v>0</v>
      </c>
      <c r="L49" s="268">
        <f>COUNTIFS(集積用!$I:$I,L$2,集積用!$K:$K,"&gt;="&amp;$C49,集積用!$K:$K,"&lt;="&amp;$D49)</f>
        <v>0</v>
      </c>
      <c r="M49" s="268">
        <f>COUNTIFS(集積用!$I:$I,M$2,集積用!$K:$K,"&gt;="&amp;$C49,集積用!$K:$K,"&lt;="&amp;$D49)</f>
        <v>0</v>
      </c>
      <c r="N49" s="268">
        <f>COUNTIFS(集積用!$I:$I,N$2,集積用!$K:$K,"&gt;="&amp;$C49,集積用!$K:$K,"&lt;="&amp;$D49)</f>
        <v>0</v>
      </c>
      <c r="O49" s="268">
        <f>COUNTIFS(集積用!$I:$I,O$2,集積用!$K:$K,"&gt;="&amp;$C49,集積用!$K:$K,"&lt;="&amp;$D49)</f>
        <v>0</v>
      </c>
      <c r="P49" s="268">
        <f>COUNTIFS(集積用!$I:$I,P$2,集積用!$K:$K,"&gt;="&amp;$C49,集積用!$K:$K,"&lt;="&amp;$D49)</f>
        <v>0</v>
      </c>
      <c r="Q49" s="268">
        <f>COUNTIFS(集積用!$I:$I,Q$2,集積用!$K:$K,"&gt;="&amp;$C49,集積用!$K:$K,"&lt;="&amp;$D49)</f>
        <v>0</v>
      </c>
      <c r="R49" s="268">
        <f>COUNTIFS(集積用!$I:$I,R$2,集積用!$K:$K,"&gt;="&amp;$C49,集積用!$K:$K,"&lt;="&amp;$D49)</f>
        <v>0</v>
      </c>
      <c r="S49" s="268"/>
      <c r="T49" s="268">
        <f>COUNTIFS(集積用!$I:$I,T$2,集積用!$K:$K,"&gt;="&amp;$C49,集積用!$K:$K,"&lt;="&amp;$D49)</f>
        <v>0</v>
      </c>
      <c r="U49" s="268">
        <f>COUNTIFS(集積用!$I:$I,U$2,集積用!$K:$K,"&gt;="&amp;$C49,集積用!$K:$K,"&lt;="&amp;$D49)</f>
        <v>0</v>
      </c>
      <c r="V49" s="268">
        <f t="shared" si="7"/>
        <v>0</v>
      </c>
      <c r="W49" s="268">
        <f>COUNTIFS(集積用!$I:$I,W$2,集積用!$K:$K,"&gt;="&amp;$C49,集積用!$K:$K,"&lt;="&amp;$D49)</f>
        <v>0</v>
      </c>
      <c r="X49" s="269">
        <f>SUMIFS(集積用!$S:$S,集積用!$K:$K,"&gt;="&amp;$C49,集積用!$K:$K,"&lt;="&amp;$D49,集積用!$H:$H,$X$1)</f>
        <v>0</v>
      </c>
      <c r="Y49" s="268">
        <f t="shared" si="8"/>
        <v>0</v>
      </c>
      <c r="Z49" s="268">
        <f>COUNTIFS(集積用!$T:$T,Z$2,集積用!$H:$H,$X$1,集積用!$K:$K,"&gt;="&amp;$C49,集積用!$K:$K,"&lt;="&amp;$D49)</f>
        <v>0</v>
      </c>
      <c r="AA49" s="227"/>
      <c r="AB49" s="227"/>
      <c r="AC49" s="227"/>
      <c r="AD49" s="227"/>
      <c r="AE49" s="227"/>
    </row>
    <row r="50" spans="2:31" ht="19.95" customHeight="1" x14ac:dyDescent="0.3">
      <c r="B50" s="265" t="s">
        <v>575</v>
      </c>
      <c r="C50" s="267">
        <v>44136</v>
      </c>
      <c r="D50" s="267">
        <f t="shared" si="6"/>
        <v>44165</v>
      </c>
      <c r="E50" s="268">
        <f>COUNTIFS(集積用!$I:$I,E$2,集積用!$K:$K,"&gt;="&amp;$C50,集積用!$K:$K,"&lt;="&amp;$D50)</f>
        <v>0</v>
      </c>
      <c r="F50" s="268">
        <f>COUNTIFS(集積用!$I:$I,F$2,集積用!$K:$K,"&gt;="&amp;$C50,集積用!$K:$K,"&lt;="&amp;$D50)</f>
        <v>0</v>
      </c>
      <c r="G50" s="268">
        <f>COUNTIFS(集積用!$I:$I,G$2,集積用!$K:$K,"&gt;="&amp;$C50,集積用!$K:$K,"&lt;="&amp;$D50)</f>
        <v>0</v>
      </c>
      <c r="H50" s="268">
        <f>COUNTIFS(集積用!$I:$I,H$2,集積用!$K:$K,"&gt;="&amp;$C50,集積用!$K:$K,"&lt;="&amp;$D50)</f>
        <v>0</v>
      </c>
      <c r="I50" s="268">
        <f>COUNTIFS(集積用!$I:$I,I$2,集積用!$K:$K,"&gt;="&amp;$C50,集積用!$K:$K,"&lt;="&amp;$D50)</f>
        <v>0</v>
      </c>
      <c r="J50" s="268">
        <f>COUNTIFS(集積用!$I:$I,J$2,集積用!$K:$K,"&gt;="&amp;$C50,集積用!$K:$K,"&lt;="&amp;$D50)</f>
        <v>0</v>
      </c>
      <c r="K50" s="268">
        <f>COUNTIFS(集積用!$I:$I,K$2,集積用!$K:$K,"&gt;="&amp;$C50,集積用!$K:$K,"&lt;="&amp;$D50)</f>
        <v>0</v>
      </c>
      <c r="L50" s="268">
        <f>COUNTIFS(集積用!$I:$I,L$2,集積用!$K:$K,"&gt;="&amp;$C50,集積用!$K:$K,"&lt;="&amp;$D50)</f>
        <v>0</v>
      </c>
      <c r="M50" s="268">
        <f>COUNTIFS(集積用!$I:$I,M$2,集積用!$K:$K,"&gt;="&amp;$C50,集積用!$K:$K,"&lt;="&amp;$D50)</f>
        <v>0</v>
      </c>
      <c r="N50" s="268">
        <f>COUNTIFS(集積用!$I:$I,N$2,集積用!$K:$K,"&gt;="&amp;$C50,集積用!$K:$K,"&lt;="&amp;$D50)</f>
        <v>0</v>
      </c>
      <c r="O50" s="268">
        <f>COUNTIFS(集積用!$I:$I,O$2,集積用!$K:$K,"&gt;="&amp;$C50,集積用!$K:$K,"&lt;="&amp;$D50)</f>
        <v>0</v>
      </c>
      <c r="P50" s="268">
        <f>COUNTIFS(集積用!$I:$I,P$2,集積用!$K:$K,"&gt;="&amp;$C50,集積用!$K:$K,"&lt;="&amp;$D50)</f>
        <v>0</v>
      </c>
      <c r="Q50" s="268">
        <f>COUNTIFS(集積用!$I:$I,Q$2,集積用!$K:$K,"&gt;="&amp;$C50,集積用!$K:$K,"&lt;="&amp;$D50)</f>
        <v>0</v>
      </c>
      <c r="R50" s="268">
        <f>COUNTIFS(集積用!$I:$I,R$2,集積用!$K:$K,"&gt;="&amp;$C50,集積用!$K:$K,"&lt;="&amp;$D50)</f>
        <v>0</v>
      </c>
      <c r="S50" s="268"/>
      <c r="T50" s="268">
        <f>COUNTIFS(集積用!$I:$I,T$2,集積用!$K:$K,"&gt;="&amp;$C50,集積用!$K:$K,"&lt;="&amp;$D50)</f>
        <v>0</v>
      </c>
      <c r="U50" s="268">
        <f>COUNTIFS(集積用!$I:$I,U$2,集積用!$K:$K,"&gt;="&amp;$C50,集積用!$K:$K,"&lt;="&amp;$D50)</f>
        <v>0</v>
      </c>
      <c r="V50" s="268">
        <f t="shared" si="7"/>
        <v>0</v>
      </c>
      <c r="W50" s="268">
        <f>COUNTIFS(集積用!$I:$I,W$2,集積用!$K:$K,"&gt;="&amp;$C50,集積用!$K:$K,"&lt;="&amp;$D50)</f>
        <v>0</v>
      </c>
      <c r="X50" s="269">
        <f>SUMIFS(集積用!$S:$S,集積用!$K:$K,"&gt;="&amp;$C50,集積用!$K:$K,"&lt;="&amp;$D50,集積用!$H:$H,$X$1)</f>
        <v>0</v>
      </c>
      <c r="Y50" s="268">
        <f t="shared" si="8"/>
        <v>0</v>
      </c>
      <c r="Z50" s="268">
        <f>COUNTIFS(集積用!$T:$T,Z$2,集積用!$H:$H,$X$1,集積用!$K:$K,"&gt;="&amp;$C50,集積用!$K:$K,"&lt;="&amp;$D50)</f>
        <v>0</v>
      </c>
      <c r="AA50" s="227"/>
      <c r="AB50" s="227"/>
      <c r="AC50" s="227"/>
      <c r="AD50" s="227"/>
      <c r="AE50" s="227"/>
    </row>
    <row r="51" spans="2:31" ht="19.95" customHeight="1" x14ac:dyDescent="0.3">
      <c r="B51" s="265" t="s">
        <v>576</v>
      </c>
      <c r="C51" s="267">
        <v>44166</v>
      </c>
      <c r="D51" s="267">
        <f>EOMONTH(C51,0)</f>
        <v>44196</v>
      </c>
      <c r="E51" s="268">
        <f>COUNTIFS(集積用!$I:$I,E$2,集積用!$K:$K,"&gt;="&amp;$C51,集積用!$K:$K,"&lt;="&amp;$D51)</f>
        <v>0</v>
      </c>
      <c r="F51" s="268">
        <f>COUNTIFS(集積用!$I:$I,F$2,集積用!$K:$K,"&gt;="&amp;$C51,集積用!$K:$K,"&lt;="&amp;$D51)</f>
        <v>0</v>
      </c>
      <c r="G51" s="268">
        <f>COUNTIFS(集積用!$I:$I,G$2,集積用!$K:$K,"&gt;="&amp;$C51,集積用!$K:$K,"&lt;="&amp;$D51)</f>
        <v>0</v>
      </c>
      <c r="H51" s="268">
        <f>COUNTIFS(集積用!$I:$I,H$2,集積用!$K:$K,"&gt;="&amp;$C51,集積用!$K:$K,"&lt;="&amp;$D51)</f>
        <v>0</v>
      </c>
      <c r="I51" s="268">
        <f>COUNTIFS(集積用!$I:$I,I$2,集積用!$K:$K,"&gt;="&amp;$C51,集積用!$K:$K,"&lt;="&amp;$D51)</f>
        <v>0</v>
      </c>
      <c r="J51" s="268">
        <f>COUNTIFS(集積用!$I:$I,J$2,集積用!$K:$K,"&gt;="&amp;$C51,集積用!$K:$K,"&lt;="&amp;$D51)</f>
        <v>0</v>
      </c>
      <c r="K51" s="268">
        <f>COUNTIFS(集積用!$I:$I,K$2,集積用!$K:$K,"&gt;="&amp;$C51,集積用!$K:$K,"&lt;="&amp;$D51)</f>
        <v>0</v>
      </c>
      <c r="L51" s="268">
        <f>COUNTIFS(集積用!$I:$I,L$2,集積用!$K:$K,"&gt;="&amp;$C51,集積用!$K:$K,"&lt;="&amp;$D51)</f>
        <v>0</v>
      </c>
      <c r="M51" s="268">
        <f>COUNTIFS(集積用!$I:$I,M$2,集積用!$K:$K,"&gt;="&amp;$C51,集積用!$K:$K,"&lt;="&amp;$D51)</f>
        <v>0</v>
      </c>
      <c r="N51" s="268">
        <f>COUNTIFS(集積用!$I:$I,N$2,集積用!$K:$K,"&gt;="&amp;$C51,集積用!$K:$K,"&lt;="&amp;$D51)</f>
        <v>0</v>
      </c>
      <c r="O51" s="268">
        <f>COUNTIFS(集積用!$I:$I,O$2,集積用!$K:$K,"&gt;="&amp;$C51,集積用!$K:$K,"&lt;="&amp;$D51)</f>
        <v>0</v>
      </c>
      <c r="P51" s="268">
        <f>COUNTIFS(集積用!$I:$I,P$2,集積用!$K:$K,"&gt;="&amp;$C51,集積用!$K:$K,"&lt;="&amp;$D51)</f>
        <v>0</v>
      </c>
      <c r="Q51" s="268">
        <f>COUNTIFS(集積用!$I:$I,Q$2,集積用!$K:$K,"&gt;="&amp;$C51,集積用!$K:$K,"&lt;="&amp;$D51)</f>
        <v>0</v>
      </c>
      <c r="R51" s="268">
        <f>COUNTIFS(集積用!$I:$I,R$2,集積用!$K:$K,"&gt;="&amp;$C51,集積用!$K:$K,"&lt;="&amp;$D51)</f>
        <v>0</v>
      </c>
      <c r="S51" s="268"/>
      <c r="T51" s="268">
        <f>COUNTIFS(集積用!$I:$I,T$2,集積用!$K:$K,"&gt;="&amp;$C51,集積用!$K:$K,"&lt;="&amp;$D51)</f>
        <v>0</v>
      </c>
      <c r="U51" s="268">
        <f>COUNTIFS(集積用!$I:$I,U$2,集積用!$K:$K,"&gt;="&amp;$C51,集積用!$K:$K,"&lt;="&amp;$D51)</f>
        <v>0</v>
      </c>
      <c r="V51" s="268">
        <f t="shared" si="7"/>
        <v>0</v>
      </c>
      <c r="W51" s="268">
        <f>COUNTIFS(集積用!$I:$I,W$2,集積用!$K:$K,"&gt;="&amp;$C51,集積用!$K:$K,"&lt;="&amp;$D51)</f>
        <v>0</v>
      </c>
      <c r="X51" s="269">
        <f>SUMIFS(集積用!$S:$S,集積用!$K:$K,"&gt;="&amp;$C51,集積用!$K:$K,"&lt;="&amp;$D51,集積用!$H:$H,$X$1)</f>
        <v>0</v>
      </c>
      <c r="Y51" s="268">
        <f t="shared" si="8"/>
        <v>0</v>
      </c>
      <c r="Z51" s="268">
        <f>COUNTIFS(集積用!$T:$T,Z$2,集積用!$H:$H,$X$1,集積用!$K:$K,"&gt;="&amp;$C51,集積用!$K:$K,"&lt;="&amp;$D51)</f>
        <v>0</v>
      </c>
      <c r="AA51" s="227"/>
      <c r="AB51" s="227"/>
      <c r="AC51" s="227"/>
      <c r="AD51" s="227"/>
      <c r="AE51" s="227"/>
    </row>
    <row r="52" spans="2:31" ht="19.95" customHeight="1" x14ac:dyDescent="0.3">
      <c r="B52" s="270">
        <v>44197</v>
      </c>
      <c r="C52" s="267">
        <v>44197</v>
      </c>
      <c r="D52" s="267">
        <f t="shared" ref="D52:D55" si="9">EOMONTH(C52,0)</f>
        <v>44227</v>
      </c>
      <c r="E52" s="268">
        <f>COUNTIFS(集積用!$I:$I,E$2,集積用!$K:$K,"&gt;="&amp;$C52,集積用!$K:$K,"&lt;="&amp;$D52)</f>
        <v>0</v>
      </c>
      <c r="F52" s="268">
        <f>COUNTIFS(集積用!$I:$I,F$2,集積用!$K:$K,"&gt;="&amp;$C52,集積用!$K:$K,"&lt;="&amp;$D52)</f>
        <v>0</v>
      </c>
      <c r="G52" s="268">
        <f>COUNTIFS(集積用!$I:$I,G$2,集積用!$K:$K,"&gt;="&amp;$C52,集積用!$K:$K,"&lt;="&amp;$D52)</f>
        <v>0</v>
      </c>
      <c r="H52" s="268">
        <f>COUNTIFS(集積用!$I:$I,H$2,集積用!$K:$K,"&gt;="&amp;$C52,集積用!$K:$K,"&lt;="&amp;$D52)</f>
        <v>0</v>
      </c>
      <c r="I52" s="268">
        <f>COUNTIFS(集積用!$I:$I,I$2,集積用!$K:$K,"&gt;="&amp;$C52,集積用!$K:$K,"&lt;="&amp;$D52)</f>
        <v>0</v>
      </c>
      <c r="J52" s="268">
        <f>COUNTIFS(集積用!$I:$I,J$2,集積用!$K:$K,"&gt;="&amp;$C52,集積用!$K:$K,"&lt;="&amp;$D52)</f>
        <v>0</v>
      </c>
      <c r="K52" s="268">
        <f>COUNTIFS(集積用!$I:$I,K$2,集積用!$K:$K,"&gt;="&amp;$C52,集積用!$K:$K,"&lt;="&amp;$D52)</f>
        <v>0</v>
      </c>
      <c r="L52" s="268">
        <f>COUNTIFS(集積用!$I:$I,L$2,集積用!$K:$K,"&gt;="&amp;$C52,集積用!$K:$K,"&lt;="&amp;$D52)</f>
        <v>0</v>
      </c>
      <c r="M52" s="268">
        <f>COUNTIFS(集積用!$I:$I,M$2,集積用!$K:$K,"&gt;="&amp;$C52,集積用!$K:$K,"&lt;="&amp;$D52)</f>
        <v>0</v>
      </c>
      <c r="N52" s="268">
        <f>COUNTIFS(集積用!$I:$I,N$2,集積用!$K:$K,"&gt;="&amp;$C52,集積用!$K:$K,"&lt;="&amp;$D52)</f>
        <v>0</v>
      </c>
      <c r="O52" s="268">
        <f>COUNTIFS(集積用!$I:$I,O$2,集積用!$K:$K,"&gt;="&amp;$C52,集積用!$K:$K,"&lt;="&amp;$D52)</f>
        <v>0</v>
      </c>
      <c r="P52" s="268">
        <f>COUNTIFS(集積用!$I:$I,P$2,集積用!$K:$K,"&gt;="&amp;$C52,集積用!$K:$K,"&lt;="&amp;$D52)</f>
        <v>0</v>
      </c>
      <c r="Q52" s="268">
        <f>COUNTIFS(集積用!$I:$I,Q$2,集積用!$K:$K,"&gt;="&amp;$C52,集積用!$K:$K,"&lt;="&amp;$D52)</f>
        <v>0</v>
      </c>
      <c r="R52" s="268">
        <f>COUNTIFS(集積用!$I:$I,R$2,集積用!$K:$K,"&gt;="&amp;$C52,集積用!$K:$K,"&lt;="&amp;$D52)</f>
        <v>0</v>
      </c>
      <c r="S52" s="268"/>
      <c r="T52" s="268">
        <f>COUNTIFS(集積用!$I:$I,T$2,集積用!$K:$K,"&gt;="&amp;$C52,集積用!$K:$K,"&lt;="&amp;$D52)</f>
        <v>0</v>
      </c>
      <c r="U52" s="268">
        <f>COUNTIFS(集積用!$I:$I,U$2,集積用!$K:$K,"&gt;="&amp;$C52,集積用!$K:$K,"&lt;="&amp;$D52)</f>
        <v>0</v>
      </c>
      <c r="V52" s="268">
        <f t="shared" si="7"/>
        <v>0</v>
      </c>
      <c r="W52" s="268">
        <f>COUNTIFS(集積用!$I:$I,W$2,集積用!$K:$K,"&gt;="&amp;$C52,集積用!$K:$K,"&lt;="&amp;$D52)</f>
        <v>0</v>
      </c>
      <c r="X52" s="269">
        <f>SUMIFS(集積用!$S:$S,集積用!$K:$K,"&gt;="&amp;$C52,集積用!$K:$K,"&lt;="&amp;$D52,集積用!$H:$H,$X$1)</f>
        <v>0</v>
      </c>
      <c r="Y52" s="268">
        <f t="shared" si="8"/>
        <v>0</v>
      </c>
      <c r="Z52" s="268">
        <f>COUNTIFS(集積用!$T:$T,Z$2,集積用!$H:$H,$X$1,集積用!$K:$K,"&gt;="&amp;$C52,集積用!$K:$K,"&lt;="&amp;$D52)</f>
        <v>0</v>
      </c>
      <c r="AA52" s="227"/>
      <c r="AB52" s="227"/>
      <c r="AC52" s="227"/>
      <c r="AD52" s="227"/>
      <c r="AE52" s="227"/>
    </row>
    <row r="53" spans="2:31" ht="19.95" customHeight="1" x14ac:dyDescent="0.3">
      <c r="B53" s="270">
        <v>44228</v>
      </c>
      <c r="C53" s="267">
        <v>44228</v>
      </c>
      <c r="D53" s="267">
        <f t="shared" si="9"/>
        <v>44255</v>
      </c>
      <c r="E53" s="268">
        <f>COUNTIFS(集積用!$I:$I,E$2,集積用!$K:$K,"&gt;="&amp;$C53,集積用!$K:$K,"&lt;="&amp;$D53)</f>
        <v>0</v>
      </c>
      <c r="F53" s="268">
        <f>COUNTIFS(集積用!$I:$I,F$2,集積用!$K:$K,"&gt;="&amp;$C53,集積用!$K:$K,"&lt;="&amp;$D53)</f>
        <v>0</v>
      </c>
      <c r="G53" s="268">
        <f>COUNTIFS(集積用!$I:$I,G$2,集積用!$K:$K,"&gt;="&amp;$C53,集積用!$K:$K,"&lt;="&amp;$D53)</f>
        <v>0</v>
      </c>
      <c r="H53" s="268">
        <f>COUNTIFS(集積用!$I:$I,H$2,集積用!$K:$K,"&gt;="&amp;$C53,集積用!$K:$K,"&lt;="&amp;$D53)</f>
        <v>0</v>
      </c>
      <c r="I53" s="268">
        <f>COUNTIFS(集積用!$I:$I,I$2,集積用!$K:$K,"&gt;="&amp;$C53,集積用!$K:$K,"&lt;="&amp;$D53)</f>
        <v>0</v>
      </c>
      <c r="J53" s="268">
        <f>COUNTIFS(集積用!$I:$I,J$2,集積用!$K:$K,"&gt;="&amp;$C53,集積用!$K:$K,"&lt;="&amp;$D53)</f>
        <v>0</v>
      </c>
      <c r="K53" s="268">
        <f>COUNTIFS(集積用!$I:$I,K$2,集積用!$K:$K,"&gt;="&amp;$C53,集積用!$K:$K,"&lt;="&amp;$D53)</f>
        <v>0</v>
      </c>
      <c r="L53" s="268">
        <f>COUNTIFS(集積用!$I:$I,L$2,集積用!$K:$K,"&gt;="&amp;$C53,集積用!$K:$K,"&lt;="&amp;$D53)</f>
        <v>0</v>
      </c>
      <c r="M53" s="268">
        <f>COUNTIFS(集積用!$I:$I,M$2,集積用!$K:$K,"&gt;="&amp;$C53,集積用!$K:$K,"&lt;="&amp;$D53)</f>
        <v>0</v>
      </c>
      <c r="N53" s="268">
        <f>COUNTIFS(集積用!$I:$I,N$2,集積用!$K:$K,"&gt;="&amp;$C53,集積用!$K:$K,"&lt;="&amp;$D53)</f>
        <v>0</v>
      </c>
      <c r="O53" s="268">
        <f>COUNTIFS(集積用!$I:$I,O$2,集積用!$K:$K,"&gt;="&amp;$C53,集積用!$K:$K,"&lt;="&amp;$D53)</f>
        <v>0</v>
      </c>
      <c r="P53" s="268">
        <f>COUNTIFS(集積用!$I:$I,P$2,集積用!$K:$K,"&gt;="&amp;$C53,集積用!$K:$K,"&lt;="&amp;$D53)</f>
        <v>0</v>
      </c>
      <c r="Q53" s="268">
        <f>COUNTIFS(集積用!$I:$I,Q$2,集積用!$K:$K,"&gt;="&amp;$C53,集積用!$K:$K,"&lt;="&amp;$D53)</f>
        <v>0</v>
      </c>
      <c r="R53" s="268">
        <f>COUNTIFS(集積用!$I:$I,R$2,集積用!$K:$K,"&gt;="&amp;$C53,集積用!$K:$K,"&lt;="&amp;$D53)</f>
        <v>0</v>
      </c>
      <c r="S53" s="268"/>
      <c r="T53" s="268">
        <f>COUNTIFS(集積用!$I:$I,T$2,集積用!$K:$K,"&gt;="&amp;$C53,集積用!$K:$K,"&lt;="&amp;$D53)</f>
        <v>0</v>
      </c>
      <c r="U53" s="268">
        <f>COUNTIFS(集積用!$I:$I,U$2,集積用!$K:$K,"&gt;="&amp;$C53,集積用!$K:$K,"&lt;="&amp;$D53)</f>
        <v>0</v>
      </c>
      <c r="V53" s="268">
        <f t="shared" si="7"/>
        <v>0</v>
      </c>
      <c r="W53" s="268">
        <f>COUNTIFS(集積用!$I:$I,W$2,集積用!$K:$K,"&gt;="&amp;$C53,集積用!$K:$K,"&lt;="&amp;$D53)</f>
        <v>0</v>
      </c>
      <c r="X53" s="269">
        <f>SUMIFS(集積用!$S:$S,集積用!$K:$K,"&gt;="&amp;$C53,集積用!$K:$K,"&lt;="&amp;$D53,集積用!$H:$H,$X$1)</f>
        <v>0</v>
      </c>
      <c r="Y53" s="268">
        <f t="shared" si="8"/>
        <v>0</v>
      </c>
      <c r="Z53" s="268">
        <f>COUNTIFS(集積用!$T:$T,Z$2,集積用!$H:$H,$X$1,集積用!$K:$K,"&gt;="&amp;$C53,集積用!$K:$K,"&lt;="&amp;$D53)</f>
        <v>0</v>
      </c>
      <c r="AA53" s="227"/>
      <c r="AB53" s="227"/>
      <c r="AC53" s="227"/>
      <c r="AD53" s="227"/>
      <c r="AE53" s="227"/>
    </row>
    <row r="54" spans="2:31" ht="19.95" customHeight="1" x14ac:dyDescent="0.3">
      <c r="B54" s="270">
        <v>44256</v>
      </c>
      <c r="C54" s="267">
        <v>44256</v>
      </c>
      <c r="D54" s="267">
        <f t="shared" si="9"/>
        <v>44286</v>
      </c>
      <c r="E54" s="268">
        <f>COUNTIFS(集積用!$I:$I,E$2,集積用!$K:$K,"&gt;="&amp;$C54,集積用!$K:$K,"&lt;="&amp;$D54)</f>
        <v>0</v>
      </c>
      <c r="F54" s="268">
        <f>COUNTIFS(集積用!$I:$I,F$2,集積用!$K:$K,"&gt;="&amp;$C54,集積用!$K:$K,"&lt;="&amp;$D54)</f>
        <v>0</v>
      </c>
      <c r="G54" s="268">
        <f>COUNTIFS(集積用!$I:$I,G$2,集積用!$K:$K,"&gt;="&amp;$C54,集積用!$K:$K,"&lt;="&amp;$D54)</f>
        <v>0</v>
      </c>
      <c r="H54" s="268">
        <f>COUNTIFS(集積用!$I:$I,H$2,集積用!$K:$K,"&gt;="&amp;$C54,集積用!$K:$K,"&lt;="&amp;$D54)</f>
        <v>0</v>
      </c>
      <c r="I54" s="268">
        <f>COUNTIFS(集積用!$I:$I,I$2,集積用!$K:$K,"&gt;="&amp;$C54,集積用!$K:$K,"&lt;="&amp;$D54)</f>
        <v>0</v>
      </c>
      <c r="J54" s="268">
        <f>COUNTIFS(集積用!$I:$I,J$2,集積用!$K:$K,"&gt;="&amp;$C54,集積用!$K:$K,"&lt;="&amp;$D54)</f>
        <v>0</v>
      </c>
      <c r="K54" s="268">
        <f>COUNTIFS(集積用!$I:$I,K$2,集積用!$K:$K,"&gt;="&amp;$C54,集積用!$K:$K,"&lt;="&amp;$D54)</f>
        <v>0</v>
      </c>
      <c r="L54" s="268">
        <f>COUNTIFS(集積用!$I:$I,L$2,集積用!$K:$K,"&gt;="&amp;$C54,集積用!$K:$K,"&lt;="&amp;$D54)</f>
        <v>0</v>
      </c>
      <c r="M54" s="268">
        <f>COUNTIFS(集積用!$I:$I,M$2,集積用!$K:$K,"&gt;="&amp;$C54,集積用!$K:$K,"&lt;="&amp;$D54)</f>
        <v>0</v>
      </c>
      <c r="N54" s="268">
        <f>COUNTIFS(集積用!$I:$I,N$2,集積用!$K:$K,"&gt;="&amp;$C54,集積用!$K:$K,"&lt;="&amp;$D54)</f>
        <v>0</v>
      </c>
      <c r="O54" s="268">
        <f>COUNTIFS(集積用!$I:$I,O$2,集積用!$K:$K,"&gt;="&amp;$C54,集積用!$K:$K,"&lt;="&amp;$D54)</f>
        <v>0</v>
      </c>
      <c r="P54" s="268">
        <f>COUNTIFS(集積用!$I:$I,P$2,集積用!$K:$K,"&gt;="&amp;$C54,集積用!$K:$K,"&lt;="&amp;$D54)</f>
        <v>0</v>
      </c>
      <c r="Q54" s="268">
        <f>COUNTIFS(集積用!$I:$I,Q$2,集積用!$K:$K,"&gt;="&amp;$C54,集積用!$K:$K,"&lt;="&amp;$D54)</f>
        <v>0</v>
      </c>
      <c r="R54" s="268">
        <f>COUNTIFS(集積用!$I:$I,R$2,集積用!$K:$K,"&gt;="&amp;$C54,集積用!$K:$K,"&lt;="&amp;$D54)</f>
        <v>0</v>
      </c>
      <c r="S54" s="268"/>
      <c r="T54" s="268">
        <f>COUNTIFS(集積用!$I:$I,T$2,集積用!$K:$K,"&gt;="&amp;$C54,集積用!$K:$K,"&lt;="&amp;$D54)</f>
        <v>0</v>
      </c>
      <c r="U54" s="268">
        <f>COUNTIFS(集積用!$I:$I,U$2,集積用!$K:$K,"&gt;="&amp;$C54,集積用!$K:$K,"&lt;="&amp;$D54)</f>
        <v>0</v>
      </c>
      <c r="V54" s="268">
        <f t="shared" si="7"/>
        <v>0</v>
      </c>
      <c r="W54" s="268">
        <f>COUNTIFS(集積用!$I:$I,W$2,集積用!$K:$K,"&gt;="&amp;$C54,集積用!$K:$K,"&lt;="&amp;$D54)</f>
        <v>0</v>
      </c>
      <c r="X54" s="269">
        <f>SUMIFS(集積用!$S:$S,集積用!$K:$K,"&gt;="&amp;$C54,集積用!$K:$K,"&lt;="&amp;$D54,集積用!$H:$H,$X$1)</f>
        <v>0</v>
      </c>
      <c r="Y54" s="268">
        <f t="shared" si="8"/>
        <v>0</v>
      </c>
      <c r="Z54" s="268">
        <f>COUNTIFS(集積用!$T:$T,Z$2,集積用!$H:$H,$X$1,集積用!$K:$K,"&gt;="&amp;$C54,集積用!$K:$K,"&lt;="&amp;$D54)</f>
        <v>0</v>
      </c>
      <c r="AA54" s="227"/>
      <c r="AB54" s="227"/>
      <c r="AC54" s="227"/>
      <c r="AD54" s="227"/>
      <c r="AE54" s="227"/>
    </row>
    <row r="55" spans="2:31" ht="19.95" customHeight="1" x14ac:dyDescent="0.3">
      <c r="B55" s="270">
        <v>44287</v>
      </c>
      <c r="C55" s="267">
        <v>44287</v>
      </c>
      <c r="D55" s="267">
        <f t="shared" si="9"/>
        <v>44316</v>
      </c>
      <c r="E55" s="268">
        <f>COUNTIFS(集積用!$I:$I,E$2,集積用!$K:$K,"&gt;="&amp;$C55,集積用!$K:$K,"&lt;="&amp;$D55)</f>
        <v>0</v>
      </c>
      <c r="F55" s="268">
        <f>COUNTIFS(集積用!$I:$I,F$2,集積用!$K:$K,"&gt;="&amp;$C55,集積用!$K:$K,"&lt;="&amp;$D55)</f>
        <v>0</v>
      </c>
      <c r="G55" s="268">
        <f>COUNTIFS(集積用!$I:$I,G$2,集積用!$K:$K,"&gt;="&amp;$C55,集積用!$K:$K,"&lt;="&amp;$D55)</f>
        <v>0</v>
      </c>
      <c r="H55" s="268">
        <f>COUNTIFS(集積用!$I:$I,H$2,集積用!$K:$K,"&gt;="&amp;$C55,集積用!$K:$K,"&lt;="&amp;$D55)</f>
        <v>0</v>
      </c>
      <c r="I55" s="268">
        <f>COUNTIFS(集積用!$I:$I,I$2,集積用!$K:$K,"&gt;="&amp;$C55,集積用!$K:$K,"&lt;="&amp;$D55)</f>
        <v>0</v>
      </c>
      <c r="J55" s="268">
        <f>COUNTIFS(集積用!$I:$I,J$2,集積用!$K:$K,"&gt;="&amp;$C55,集積用!$K:$K,"&lt;="&amp;$D55)</f>
        <v>0</v>
      </c>
      <c r="K55" s="268">
        <f>COUNTIFS(集積用!$I:$I,K$2,集積用!$K:$K,"&gt;="&amp;$C55,集積用!$K:$K,"&lt;="&amp;$D55)</f>
        <v>0</v>
      </c>
      <c r="L55" s="268">
        <f>COUNTIFS(集積用!$I:$I,L$2,集積用!$K:$K,"&gt;="&amp;$C55,集積用!$K:$K,"&lt;="&amp;$D55)</f>
        <v>0</v>
      </c>
      <c r="M55" s="268">
        <f>COUNTIFS(集積用!$I:$I,M$2,集積用!$K:$K,"&gt;="&amp;$C55,集積用!$K:$K,"&lt;="&amp;$D55)</f>
        <v>0</v>
      </c>
      <c r="N55" s="268">
        <f>COUNTIFS(集積用!$I:$I,N$2,集積用!$K:$K,"&gt;="&amp;$C55,集積用!$K:$K,"&lt;="&amp;$D55)</f>
        <v>0</v>
      </c>
      <c r="O55" s="268">
        <f>COUNTIFS(集積用!$I:$I,O$2,集積用!$K:$K,"&gt;="&amp;$C55,集積用!$K:$K,"&lt;="&amp;$D55)</f>
        <v>0</v>
      </c>
      <c r="P55" s="268">
        <f>COUNTIFS(集積用!$I:$I,P$2,集積用!$K:$K,"&gt;="&amp;$C55,集積用!$K:$K,"&lt;="&amp;$D55)</f>
        <v>0</v>
      </c>
      <c r="Q55" s="268">
        <f>COUNTIFS(集積用!$I:$I,Q$2,集積用!$K:$K,"&gt;="&amp;$C55,集積用!$K:$K,"&lt;="&amp;$D55)</f>
        <v>0</v>
      </c>
      <c r="R55" s="268">
        <f>COUNTIFS(集積用!$I:$I,R$2,集積用!$K:$K,"&gt;="&amp;$C55,集積用!$K:$K,"&lt;="&amp;$D55)</f>
        <v>0</v>
      </c>
      <c r="S55" s="268"/>
      <c r="T55" s="268">
        <f>COUNTIFS(集積用!$I:$I,T$2,集積用!$K:$K,"&gt;="&amp;$C55,集積用!$K:$K,"&lt;="&amp;$D55)</f>
        <v>0</v>
      </c>
      <c r="U55" s="268">
        <f>COUNTIFS(集積用!$I:$I,U$2,集積用!$K:$K,"&gt;="&amp;$C55,集積用!$K:$K,"&lt;="&amp;$D55)</f>
        <v>0</v>
      </c>
      <c r="V55" s="268">
        <f t="shared" si="7"/>
        <v>0</v>
      </c>
      <c r="W55" s="268">
        <f>COUNTIFS(集積用!$I:$I,W$2,集積用!$K:$K,"&gt;="&amp;$C55,集積用!$K:$K,"&lt;="&amp;$D55)</f>
        <v>0</v>
      </c>
      <c r="X55" s="269">
        <f>SUMIFS(集積用!$S:$S,集積用!$K:$K,"&gt;="&amp;$C55,集積用!$K:$K,"&lt;="&amp;$D55,集積用!$H:$H,$X$1)</f>
        <v>0</v>
      </c>
      <c r="Y55" s="268">
        <f t="shared" si="8"/>
        <v>0</v>
      </c>
      <c r="Z55" s="268">
        <f>COUNTIFS(集積用!$T:$T,Z$2,集積用!$H:$H,$X$1,集積用!$K:$K,"&gt;="&amp;$C55,集積用!$K:$K,"&lt;="&amp;$D55)</f>
        <v>0</v>
      </c>
      <c r="AA55" s="227"/>
      <c r="AB55" s="227"/>
      <c r="AC55" s="227"/>
      <c r="AD55" s="227"/>
      <c r="AE55" s="227"/>
    </row>
    <row r="56" spans="2:31" ht="19.95" customHeight="1" x14ac:dyDescent="0.3">
      <c r="B56" s="425" t="s">
        <v>565</v>
      </c>
      <c r="C56" s="425"/>
      <c r="D56" s="425"/>
      <c r="E56" s="268">
        <f>SUM(E48:E55)</f>
        <v>0</v>
      </c>
      <c r="F56" s="268">
        <f t="shared" ref="F56" si="10">SUM(F48:F55)</f>
        <v>0</v>
      </c>
      <c r="G56" s="268">
        <f t="shared" ref="G56" si="11">SUM(G48:G55)</f>
        <v>0</v>
      </c>
      <c r="H56" s="268">
        <f t="shared" ref="H56" si="12">SUM(H48:H55)</f>
        <v>0</v>
      </c>
      <c r="I56" s="268">
        <f t="shared" ref="I56" si="13">SUM(I48:I55)</f>
        <v>0</v>
      </c>
      <c r="J56" s="268">
        <f t="shared" ref="J56" si="14">SUM(J48:J55)</f>
        <v>0</v>
      </c>
      <c r="K56" s="268">
        <f t="shared" ref="K56" si="15">SUM(K48:K55)</f>
        <v>0</v>
      </c>
      <c r="L56" s="268">
        <f t="shared" ref="L56" si="16">SUM(L48:L55)</f>
        <v>0</v>
      </c>
      <c r="M56" s="268">
        <f t="shared" ref="M56" si="17">SUM(M48:M55)</f>
        <v>0</v>
      </c>
      <c r="N56" s="268">
        <f t="shared" ref="N56" si="18">SUM(N48:N55)</f>
        <v>0</v>
      </c>
      <c r="O56" s="268">
        <f t="shared" ref="O56" si="19">SUM(O48:O55)</f>
        <v>0</v>
      </c>
      <c r="P56" s="268">
        <f t="shared" ref="P56" si="20">SUM(P48:P55)</f>
        <v>0</v>
      </c>
      <c r="Q56" s="268">
        <f t="shared" ref="Q56" si="21">SUM(Q48:Q55)</f>
        <v>0</v>
      </c>
      <c r="R56" s="268">
        <f t="shared" ref="R56" si="22">SUM(R48:R55)</f>
        <v>0</v>
      </c>
      <c r="S56" s="268"/>
      <c r="T56" s="268">
        <f t="shared" ref="T56:U56" si="23">SUM(T48:T55)</f>
        <v>0</v>
      </c>
      <c r="U56" s="268">
        <f t="shared" si="23"/>
        <v>0</v>
      </c>
      <c r="V56" s="268"/>
      <c r="W56" s="268"/>
      <c r="X56" s="269"/>
      <c r="Y56" s="269"/>
      <c r="Z56" s="269"/>
      <c r="AA56" s="227"/>
      <c r="AB56" s="227"/>
      <c r="AC56" s="227"/>
      <c r="AD56" s="227"/>
      <c r="AE56" s="227"/>
    </row>
  </sheetData>
  <mergeCells count="6">
    <mergeCell ref="B56:D56"/>
    <mergeCell ref="B1:W1"/>
    <mergeCell ref="B2:D2"/>
    <mergeCell ref="B15:D15"/>
    <mergeCell ref="X24:Y24"/>
    <mergeCell ref="B44:D44"/>
  </mergeCells>
  <phoneticPr fontId="2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C51E5-EE9A-4FBE-A1A1-8D19F7C245E1}">
  <sheetPr codeName="Sheet14"/>
  <dimension ref="A1:I19"/>
  <sheetViews>
    <sheetView zoomScale="70" zoomScaleNormal="70" workbookViewId="0">
      <selection activeCell="D8" sqref="D8"/>
    </sheetView>
  </sheetViews>
  <sheetFormatPr defaultColWidth="8.81640625" defaultRowHeight="100.2" customHeight="1" x14ac:dyDescent="0.3"/>
  <cols>
    <col min="1" max="1" width="3.90625" style="102" customWidth="1"/>
    <col min="2" max="2" width="16.6328125" style="294" customWidth="1"/>
    <col min="3" max="3" width="14.6328125" style="293" hidden="1" customWidth="1"/>
    <col min="4" max="4" width="40.6328125" style="120" customWidth="1"/>
    <col min="5" max="6" width="40.6328125" style="110" customWidth="1"/>
    <col min="7" max="7" width="35.6328125" style="110" customWidth="1"/>
    <col min="8" max="8" width="14.6328125" style="213" customWidth="1"/>
    <col min="9" max="9" width="14.6328125" style="303" customWidth="1"/>
    <col min="10" max="16384" width="8.81640625" style="102"/>
  </cols>
  <sheetData>
    <row r="1" spans="1:9" s="103" customFormat="1" ht="30" customHeight="1" x14ac:dyDescent="0.3">
      <c r="A1" s="102"/>
      <c r="B1" s="295" t="s">
        <v>597</v>
      </c>
      <c r="C1" s="290"/>
      <c r="D1" s="290"/>
      <c r="E1" s="290"/>
      <c r="F1" s="290"/>
      <c r="G1" s="290"/>
      <c r="H1" s="291"/>
      <c r="I1" s="291"/>
    </row>
    <row r="2" spans="1:9" s="103" customFormat="1" ht="15" customHeight="1" x14ac:dyDescent="0.3">
      <c r="A2" s="102"/>
      <c r="B2" s="299" t="s">
        <v>647</v>
      </c>
      <c r="H2" s="432" t="s">
        <v>445</v>
      </c>
      <c r="I2" s="433"/>
    </row>
    <row r="3" spans="1:9" s="103" customFormat="1" ht="15" x14ac:dyDescent="0.3">
      <c r="A3" s="102"/>
      <c r="B3" s="300">
        <f>(COUNTIF(C:C,"&lt;&gt;")-1)</f>
        <v>13</v>
      </c>
      <c r="H3" s="225">
        <v>44287</v>
      </c>
      <c r="I3" s="225">
        <f>EOMONTH(H3,0)</f>
        <v>44316</v>
      </c>
    </row>
    <row r="4" spans="1:9" s="103" customFormat="1" ht="13.2" customHeight="1" x14ac:dyDescent="0.3">
      <c r="A4" s="102"/>
      <c r="B4" s="104"/>
      <c r="C4" s="108"/>
      <c r="D4" s="119"/>
      <c r="E4" s="106"/>
      <c r="F4" s="106"/>
      <c r="G4" s="106"/>
      <c r="H4" s="210"/>
      <c r="I4" s="301"/>
    </row>
    <row r="5" spans="1:9" s="109" customFormat="1" ht="32.4" x14ac:dyDescent="0.3">
      <c r="B5" s="296" t="s">
        <v>363</v>
      </c>
      <c r="C5" s="296" t="s">
        <v>599</v>
      </c>
      <c r="D5" s="215" t="s">
        <v>365</v>
      </c>
      <c r="E5" s="215" t="s">
        <v>367</v>
      </c>
      <c r="F5" s="215" t="s">
        <v>600</v>
      </c>
      <c r="G5" s="215" t="s">
        <v>598</v>
      </c>
      <c r="H5" s="221" t="s">
        <v>530</v>
      </c>
      <c r="I5" s="302" t="s">
        <v>601</v>
      </c>
    </row>
    <row r="6" spans="1:9" ht="160.19999999999999" customHeight="1" x14ac:dyDescent="0.3">
      <c r="B6" s="297">
        <v>202104020305</v>
      </c>
      <c r="C6" s="298" t="s">
        <v>368</v>
      </c>
      <c r="D6" s="298" t="s">
        <v>579</v>
      </c>
      <c r="E6" s="298" t="s">
        <v>602</v>
      </c>
      <c r="F6" s="298" t="s">
        <v>603</v>
      </c>
      <c r="G6" s="298" t="s">
        <v>604</v>
      </c>
      <c r="H6" s="298" t="s">
        <v>265</v>
      </c>
      <c r="I6" s="304" t="s">
        <v>430</v>
      </c>
    </row>
    <row r="7" spans="1:9" ht="160.19999999999999" customHeight="1" x14ac:dyDescent="0.3">
      <c r="B7" s="297">
        <v>202104141695</v>
      </c>
      <c r="C7" s="298" t="s">
        <v>429</v>
      </c>
      <c r="D7" s="298" t="s">
        <v>621</v>
      </c>
      <c r="E7" s="298" t="s">
        <v>622</v>
      </c>
      <c r="F7" s="298" t="s">
        <v>623</v>
      </c>
      <c r="G7" s="298" t="s">
        <v>624</v>
      </c>
      <c r="H7" s="298" t="s">
        <v>261</v>
      </c>
      <c r="I7" s="304">
        <v>2746200</v>
      </c>
    </row>
    <row r="8" spans="1:9" ht="160.19999999999999" customHeight="1" x14ac:dyDescent="0.3">
      <c r="B8" s="297">
        <v>202104121506</v>
      </c>
      <c r="C8" s="298" t="s">
        <v>429</v>
      </c>
      <c r="D8" s="298" t="s">
        <v>596</v>
      </c>
      <c r="E8" s="298" t="s">
        <v>614</v>
      </c>
      <c r="F8" s="298" t="s">
        <v>615</v>
      </c>
      <c r="G8" s="298" t="s">
        <v>616</v>
      </c>
      <c r="H8" s="298" t="s">
        <v>253</v>
      </c>
      <c r="I8" s="304">
        <v>1763460</v>
      </c>
    </row>
    <row r="9" spans="1:9" ht="160.19999999999999" customHeight="1" x14ac:dyDescent="0.3">
      <c r="B9" s="297">
        <v>202104192127</v>
      </c>
      <c r="C9" s="298" t="s">
        <v>368</v>
      </c>
      <c r="D9" s="298" t="s">
        <v>638</v>
      </c>
      <c r="E9" s="298" t="s">
        <v>639</v>
      </c>
      <c r="F9" s="298" t="s">
        <v>633</v>
      </c>
      <c r="G9" s="298" t="s">
        <v>640</v>
      </c>
      <c r="H9" s="298" t="s">
        <v>265</v>
      </c>
      <c r="I9" s="304">
        <v>1450710</v>
      </c>
    </row>
    <row r="10" spans="1:9" ht="160.19999999999999" customHeight="1" x14ac:dyDescent="0.3">
      <c r="B10" s="297">
        <v>202104283693</v>
      </c>
      <c r="C10" s="298" t="s">
        <v>429</v>
      </c>
      <c r="D10" s="298" t="s">
        <v>594</v>
      </c>
      <c r="E10" s="298" t="s">
        <v>646</v>
      </c>
      <c r="F10" s="298" t="s">
        <v>595</v>
      </c>
      <c r="G10" s="298" t="s">
        <v>645</v>
      </c>
      <c r="H10" s="298" t="s">
        <v>254</v>
      </c>
      <c r="I10" s="304">
        <v>550396</v>
      </c>
    </row>
    <row r="11" spans="1:9" ht="160.19999999999999" customHeight="1" x14ac:dyDescent="0.3">
      <c r="B11" s="297">
        <v>202104081110</v>
      </c>
      <c r="C11" s="298" t="s">
        <v>429</v>
      </c>
      <c r="D11" s="298" t="s">
        <v>581</v>
      </c>
      <c r="E11" s="298" t="s">
        <v>608</v>
      </c>
      <c r="F11" s="298" t="s">
        <v>609</v>
      </c>
      <c r="G11" s="298" t="s">
        <v>610</v>
      </c>
      <c r="H11" s="298" t="s">
        <v>272</v>
      </c>
      <c r="I11" s="304">
        <v>272510</v>
      </c>
    </row>
    <row r="12" spans="1:9" ht="160.19999999999999" customHeight="1" x14ac:dyDescent="0.3">
      <c r="B12" s="297">
        <v>202104182102</v>
      </c>
      <c r="C12" s="298" t="s">
        <v>368</v>
      </c>
      <c r="D12" s="298" t="s">
        <v>629</v>
      </c>
      <c r="E12" s="298" t="s">
        <v>630</v>
      </c>
      <c r="F12" s="298" t="s">
        <v>631</v>
      </c>
      <c r="G12" s="298" t="s">
        <v>632</v>
      </c>
      <c r="H12" s="298" t="s">
        <v>253</v>
      </c>
      <c r="I12" s="304">
        <v>126650</v>
      </c>
    </row>
    <row r="13" spans="1:9" ht="160.19999999999999" customHeight="1" x14ac:dyDescent="0.3">
      <c r="B13" s="297">
        <v>202104081085</v>
      </c>
      <c r="C13" s="298" t="s">
        <v>429</v>
      </c>
      <c r="D13" s="298" t="s">
        <v>582</v>
      </c>
      <c r="E13" s="298" t="s">
        <v>611</v>
      </c>
      <c r="F13" s="298" t="s">
        <v>612</v>
      </c>
      <c r="G13" s="298" t="s">
        <v>613</v>
      </c>
      <c r="H13" s="298" t="s">
        <v>272</v>
      </c>
      <c r="I13" s="304">
        <v>28014</v>
      </c>
    </row>
    <row r="14" spans="1:9" ht="160.19999999999999" customHeight="1" x14ac:dyDescent="0.3">
      <c r="B14" s="297">
        <v>202104070785</v>
      </c>
      <c r="C14" s="298" t="s">
        <v>368</v>
      </c>
      <c r="D14" s="298" t="s">
        <v>580</v>
      </c>
      <c r="E14" s="298" t="s">
        <v>605</v>
      </c>
      <c r="F14" s="298" t="s">
        <v>606</v>
      </c>
      <c r="G14" s="298" t="s">
        <v>607</v>
      </c>
      <c r="H14" s="298" t="s">
        <v>253</v>
      </c>
      <c r="I14" s="304">
        <v>0</v>
      </c>
    </row>
    <row r="15" spans="1:9" ht="160.19999999999999" customHeight="1" x14ac:dyDescent="0.3">
      <c r="B15" s="297">
        <v>202104131564</v>
      </c>
      <c r="C15" s="298" t="s">
        <v>368</v>
      </c>
      <c r="D15" s="298" t="s">
        <v>617</v>
      </c>
      <c r="E15" s="298" t="s">
        <v>618</v>
      </c>
      <c r="F15" s="298" t="s">
        <v>619</v>
      </c>
      <c r="G15" s="298" t="s">
        <v>620</v>
      </c>
      <c r="H15" s="298" t="s">
        <v>272</v>
      </c>
      <c r="I15" s="304">
        <v>0</v>
      </c>
    </row>
    <row r="16" spans="1:9" ht="160.19999999999999" customHeight="1" x14ac:dyDescent="0.3">
      <c r="B16" s="297">
        <v>202104161970</v>
      </c>
      <c r="C16" s="298" t="s">
        <v>368</v>
      </c>
      <c r="D16" s="298" t="s">
        <v>625</v>
      </c>
      <c r="E16" s="298" t="s">
        <v>626</v>
      </c>
      <c r="F16" s="298" t="s">
        <v>627</v>
      </c>
      <c r="G16" s="298" t="s">
        <v>628</v>
      </c>
      <c r="H16" s="298" t="s">
        <v>272</v>
      </c>
      <c r="I16" s="304">
        <v>0</v>
      </c>
    </row>
    <row r="17" spans="2:9" ht="160.19999999999999" customHeight="1" x14ac:dyDescent="0.3">
      <c r="B17" s="297">
        <v>202104192215</v>
      </c>
      <c r="C17" s="298" t="s">
        <v>368</v>
      </c>
      <c r="D17" s="298" t="s">
        <v>634</v>
      </c>
      <c r="E17" s="298" t="s">
        <v>635</v>
      </c>
      <c r="F17" s="298" t="s">
        <v>636</v>
      </c>
      <c r="G17" s="298" t="s">
        <v>637</v>
      </c>
      <c r="H17" s="298" t="s">
        <v>265</v>
      </c>
      <c r="I17" s="304">
        <v>0</v>
      </c>
    </row>
    <row r="18" spans="2:9" ht="160.19999999999999" customHeight="1" x14ac:dyDescent="0.3">
      <c r="B18" s="297">
        <v>202104232898</v>
      </c>
      <c r="C18" s="298" t="s">
        <v>368</v>
      </c>
      <c r="D18" s="298" t="s">
        <v>641</v>
      </c>
      <c r="E18" s="298" t="s">
        <v>642</v>
      </c>
      <c r="F18" s="298" t="s">
        <v>643</v>
      </c>
      <c r="G18" s="298" t="s">
        <v>644</v>
      </c>
      <c r="H18" s="298" t="s">
        <v>265</v>
      </c>
      <c r="I18" s="304">
        <v>0</v>
      </c>
    </row>
    <row r="19" spans="2:9" ht="120" customHeight="1" x14ac:dyDescent="0.3"/>
  </sheetData>
  <autoFilter ref="B5:I5" xr:uid="{2897B613-26CE-4B0A-B298-8AED3F2F25B7}"/>
  <sortState ref="B6:I18">
    <sortCondition descending="1" ref="I5"/>
  </sortState>
  <mergeCells count="1">
    <mergeCell ref="H2:I2"/>
  </mergeCells>
  <phoneticPr fontId="2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バイヤー事故情報共有リストへ転記">
                <anchor moveWithCells="1" sizeWithCells="1">
                  <from>
                    <xdr:col>6</xdr:col>
                    <xdr:colOff>22860</xdr:colOff>
                    <xdr:row>1</xdr:row>
                    <xdr:rowOff>22860</xdr:rowOff>
                  </from>
                  <to>
                    <xdr:col>6</xdr:col>
                    <xdr:colOff>2994660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8A74-83BB-4FA4-AFE7-2FE90F5E79B3}">
  <sheetPr codeName="Sheet6"/>
  <dimension ref="B1:N24"/>
  <sheetViews>
    <sheetView zoomScale="115" zoomScaleNormal="115" workbookViewId="0">
      <selection activeCell="K3" sqref="K3"/>
    </sheetView>
  </sheetViews>
  <sheetFormatPr defaultRowHeight="15" x14ac:dyDescent="0.3"/>
  <cols>
    <col min="1" max="1" width="3.81640625" customWidth="1"/>
    <col min="2" max="2" width="14.08984375" bestFit="1" customWidth="1"/>
    <col min="3" max="4" width="0" hidden="1" customWidth="1"/>
  </cols>
  <sheetData>
    <row r="1" spans="2:14" x14ac:dyDescent="0.3">
      <c r="G1" s="434" t="s">
        <v>713</v>
      </c>
      <c r="H1" s="434"/>
      <c r="I1" s="434" t="s">
        <v>714</v>
      </c>
      <c r="J1" s="434"/>
      <c r="K1" s="434" t="s">
        <v>712</v>
      </c>
      <c r="L1" s="434"/>
      <c r="M1" s="434" t="s">
        <v>714</v>
      </c>
      <c r="N1" s="434"/>
    </row>
    <row r="2" spans="2:14" x14ac:dyDescent="0.3">
      <c r="B2" s="435"/>
      <c r="C2" s="436"/>
      <c r="D2" s="437"/>
      <c r="E2" s="435" t="s">
        <v>703</v>
      </c>
      <c r="F2" s="437"/>
      <c r="G2" s="440" t="s">
        <v>710</v>
      </c>
      <c r="H2" s="441"/>
      <c r="I2" s="440" t="s">
        <v>708</v>
      </c>
      <c r="J2" s="441"/>
      <c r="K2" s="438" t="s">
        <v>711</v>
      </c>
      <c r="L2" s="439"/>
      <c r="M2" s="438" t="s">
        <v>709</v>
      </c>
      <c r="N2" s="439"/>
    </row>
    <row r="3" spans="2:14" x14ac:dyDescent="0.3">
      <c r="B3" s="435" t="s">
        <v>702</v>
      </c>
      <c r="C3" s="436"/>
      <c r="D3" s="437"/>
      <c r="E3" s="421" t="s">
        <v>117</v>
      </c>
      <c r="F3" s="421" t="s">
        <v>118</v>
      </c>
      <c r="G3" s="416" t="s">
        <v>117</v>
      </c>
      <c r="H3" s="416" t="s">
        <v>118</v>
      </c>
      <c r="I3" s="416" t="s">
        <v>117</v>
      </c>
      <c r="J3" s="416" t="s">
        <v>118</v>
      </c>
      <c r="K3" s="417" t="s">
        <v>117</v>
      </c>
      <c r="L3" s="417" t="s">
        <v>118</v>
      </c>
      <c r="M3" s="417" t="s">
        <v>117</v>
      </c>
      <c r="N3" s="417" t="s">
        <v>118</v>
      </c>
    </row>
    <row r="4" spans="2:14" x14ac:dyDescent="0.3">
      <c r="B4" s="420" t="s">
        <v>695</v>
      </c>
      <c r="C4" s="267">
        <v>44440</v>
      </c>
      <c r="D4" s="267">
        <v>44469</v>
      </c>
      <c r="E4" s="414">
        <f>COUNTIFS(集積用!$H:$H,$E$3,集積用!$E:$E,"&gt;="&amp;$C4,集積用!$E:$E,"&lt;="&amp;$D4)</f>
        <v>0</v>
      </c>
      <c r="F4" s="414">
        <f>COUNTIFS(集積用!$H:$H,$F$3,集積用!$E:$E,"&gt;="&amp;$C4,集積用!$E:$E,"&lt;="&amp;$D4)</f>
        <v>0</v>
      </c>
      <c r="G4" s="414">
        <f>COUNTIFS(集積用!$H:$H,$G$3,集積用!$Y:$Y,"●",集積用!$E:$E,"&gt;="&amp;$C4,集積用!$E:$E,"&lt;="&amp;$D4)</f>
        <v>0</v>
      </c>
      <c r="H4" s="414">
        <f>COUNTIFS(集積用!$H:$H,$H$3,集積用!$Y:$Y,"●",集積用!$E:$E,"&gt;="&amp;$C4,集積用!$E:$E,"&lt;="&amp;$D4)</f>
        <v>0</v>
      </c>
      <c r="I4" s="418" t="e">
        <f>G4/E4</f>
        <v>#DIV/0!</v>
      </c>
      <c r="J4" s="418" t="e">
        <f>H4/F4</f>
        <v>#DIV/0!</v>
      </c>
      <c r="K4" s="414">
        <f>COUNTIFS(集積用!$H:$H,$K$3,集積用!$AO:$AO,"●",集積用!$E:$E,"&gt;="&amp;$C4,集積用!$E:$E,"&lt;="&amp;$D4)</f>
        <v>0</v>
      </c>
      <c r="L4" s="414">
        <f>COUNTIFS(集積用!$H:$H,$L$3,集積用!$AO:$AO,"●",集積用!$E:$E,"&gt;="&amp;$C4,集積用!$E:$E,"&lt;="&amp;$D4)</f>
        <v>0</v>
      </c>
      <c r="M4" s="418" t="e">
        <f>K4/E4</f>
        <v>#DIV/0!</v>
      </c>
      <c r="N4" s="418" t="e">
        <f>L4/F4</f>
        <v>#DIV/0!</v>
      </c>
    </row>
    <row r="5" spans="2:14" x14ac:dyDescent="0.3">
      <c r="B5" s="420" t="s">
        <v>574</v>
      </c>
      <c r="C5" s="267">
        <v>44470</v>
      </c>
      <c r="D5" s="267">
        <v>44500</v>
      </c>
      <c r="E5" s="414">
        <f>COUNTIFS(集積用!$H:$H,$E$3,集積用!$E:$E,"&gt;="&amp;$C5,集積用!$E:$E,"&lt;="&amp;$D5)</f>
        <v>0</v>
      </c>
      <c r="F5" s="414">
        <f>COUNTIFS(集積用!$H:$H,$F$3,集積用!$E:$E,"&gt;="&amp;$C5,集積用!$E:$E,"&lt;="&amp;$D5)</f>
        <v>0</v>
      </c>
      <c r="G5" s="414">
        <f>COUNTIFS(集積用!$H:$H,$G$3,集積用!$Y:$Y,"●",集積用!$E:$E,"&gt;="&amp;$C5,集積用!$E:$E,"&lt;="&amp;$D5)</f>
        <v>0</v>
      </c>
      <c r="H5" s="414">
        <f>COUNTIFS(集積用!$H:$H,$H$3,集積用!$Y:$Y,"●",集積用!$E:$E,"&gt;="&amp;$C5,集積用!$E:$E,"&lt;="&amp;$D5)</f>
        <v>0</v>
      </c>
      <c r="I5" s="418" t="e">
        <f t="shared" ref="I5:I8" si="0">G5/E5</f>
        <v>#DIV/0!</v>
      </c>
      <c r="J5" s="418" t="e">
        <f t="shared" ref="J5:J8" si="1">H5/F5</f>
        <v>#DIV/0!</v>
      </c>
      <c r="K5" s="414">
        <f>COUNTIFS(集積用!$H:$H,$K$3,集積用!$AO:$AO,"●",集積用!$E:$E,"&gt;="&amp;$C5,集積用!$E:$E,"&lt;="&amp;$D5)</f>
        <v>0</v>
      </c>
      <c r="L5" s="414">
        <f>COUNTIFS(集積用!$H:$H,$L$3,集積用!$AO:$AO,"●",集積用!$E:$E,"&gt;="&amp;$C5,集積用!$E:$E,"&lt;="&amp;$D5)</f>
        <v>0</v>
      </c>
      <c r="M5" s="418" t="e">
        <f t="shared" ref="M5:M8" si="2">K5/E5</f>
        <v>#DIV/0!</v>
      </c>
      <c r="N5" s="418" t="e">
        <f t="shared" ref="N5:N8" si="3">L5/F5</f>
        <v>#DIV/0!</v>
      </c>
    </row>
    <row r="6" spans="2:14" x14ac:dyDescent="0.3">
      <c r="B6" s="420" t="s">
        <v>575</v>
      </c>
      <c r="C6" s="267">
        <v>44501</v>
      </c>
      <c r="D6" s="267">
        <v>44530</v>
      </c>
      <c r="E6" s="414">
        <f>COUNTIFS(集積用!$H:$H,$E$3,集積用!$E:$E,"&gt;="&amp;$C6,集積用!$E:$E,"&lt;="&amp;$D6)</f>
        <v>0</v>
      </c>
      <c r="F6" s="414">
        <f>COUNTIFS(集積用!$H:$H,$F$3,集積用!$E:$E,"&gt;="&amp;$C6,集積用!$E:$E,"&lt;="&amp;$D6)</f>
        <v>0</v>
      </c>
      <c r="G6" s="414">
        <f>COUNTIFS(集積用!$H:$H,$G$3,集積用!$Y:$Y,"●",集積用!$E:$E,"&gt;="&amp;$C6,集積用!$E:$E,"&lt;="&amp;$D6)</f>
        <v>0</v>
      </c>
      <c r="H6" s="414">
        <f>COUNTIFS(集積用!$H:$H,$H$3,集積用!$Y:$Y,"●",集積用!$E:$E,"&gt;="&amp;$C6,集積用!$E:$E,"&lt;="&amp;$D6)</f>
        <v>0</v>
      </c>
      <c r="I6" s="418" t="e">
        <f t="shared" si="0"/>
        <v>#DIV/0!</v>
      </c>
      <c r="J6" s="418" t="e">
        <f t="shared" si="1"/>
        <v>#DIV/0!</v>
      </c>
      <c r="K6" s="414">
        <f>COUNTIFS(集積用!$H:$H,$K$3,集積用!$AO:$AO,"●",集積用!$E:$E,"&gt;="&amp;$C6,集積用!$E:$E,"&lt;="&amp;$D6)</f>
        <v>0</v>
      </c>
      <c r="L6" s="414">
        <f>COUNTIFS(集積用!$H:$H,$L$3,集積用!$AO:$AO,"●",集積用!$E:$E,"&gt;="&amp;$C6,集積用!$E:$E,"&lt;="&amp;$D6)</f>
        <v>0</v>
      </c>
      <c r="M6" s="418" t="e">
        <f t="shared" si="2"/>
        <v>#DIV/0!</v>
      </c>
      <c r="N6" s="418" t="e">
        <f t="shared" si="3"/>
        <v>#DIV/0!</v>
      </c>
    </row>
    <row r="7" spans="2:14" x14ac:dyDescent="0.3">
      <c r="B7" s="265" t="s">
        <v>576</v>
      </c>
      <c r="C7" s="267">
        <v>44531</v>
      </c>
      <c r="D7" s="267">
        <v>44561</v>
      </c>
      <c r="E7" s="414">
        <f>COUNTIFS(集積用!$H:$H,$E$3,集積用!$E:$E,"&gt;="&amp;$C7,集積用!$E:$E,"&lt;="&amp;$D7)</f>
        <v>0</v>
      </c>
      <c r="F7" s="414">
        <f>COUNTIFS(集積用!$H:$H,$F$3,集積用!$E:$E,"&gt;="&amp;$C7,集積用!$E:$E,"&lt;="&amp;$D7)</f>
        <v>0</v>
      </c>
      <c r="G7" s="414">
        <f>COUNTIFS(集積用!$H:$H,$G$3,集積用!$Y:$Y,"●",集積用!$E:$E,"&gt;="&amp;$C7,集積用!$E:$E,"&lt;="&amp;$D7)</f>
        <v>0</v>
      </c>
      <c r="H7" s="414">
        <f>COUNTIFS(集積用!$H:$H,$H$3,集積用!$Y:$Y,"●",集積用!$E:$E,"&gt;="&amp;$C7,集積用!$E:$E,"&lt;="&amp;$D7)</f>
        <v>0</v>
      </c>
      <c r="I7" s="418" t="e">
        <f t="shared" si="0"/>
        <v>#DIV/0!</v>
      </c>
      <c r="J7" s="418" t="e">
        <f t="shared" si="1"/>
        <v>#DIV/0!</v>
      </c>
      <c r="K7" s="414">
        <f>COUNTIFS(集積用!$H:$H,$K$3,集積用!$AO:$AO,"●",集積用!$E:$E,"&gt;="&amp;$C7,集積用!$E:$E,"&lt;="&amp;$D7)</f>
        <v>0</v>
      </c>
      <c r="L7" s="414">
        <f>COUNTIFS(集積用!$H:$H,$L$3,集積用!$AO:$AO,"●",集積用!$E:$E,"&gt;="&amp;$C7,集積用!$E:$E,"&lt;="&amp;$D7)</f>
        <v>0</v>
      </c>
      <c r="M7" s="418" t="e">
        <f t="shared" si="2"/>
        <v>#DIV/0!</v>
      </c>
      <c r="N7" s="418" t="e">
        <f t="shared" si="3"/>
        <v>#DIV/0!</v>
      </c>
    </row>
    <row r="8" spans="2:14" x14ac:dyDescent="0.3">
      <c r="B8" s="265" t="s">
        <v>696</v>
      </c>
      <c r="C8" s="267">
        <v>44562</v>
      </c>
      <c r="D8" s="267">
        <v>44592</v>
      </c>
      <c r="E8" s="414">
        <f>COUNTIFS(集積用!$H:$H,$E$3,集積用!$E:$E,"&gt;="&amp;$C8,集積用!$E:$E,"&lt;="&amp;$D8)</f>
        <v>0</v>
      </c>
      <c r="F8" s="414">
        <f>COUNTIFS(集積用!$H:$H,$F$3,集積用!$E:$E,"&gt;="&amp;$C8,集積用!$E:$E,"&lt;="&amp;$D8)</f>
        <v>0</v>
      </c>
      <c r="G8" s="414">
        <f>COUNTIFS(集積用!$H:$H,$G$3,集積用!$Y:$Y,"●",集積用!$E:$E,"&gt;="&amp;$C8,集積用!$E:$E,"&lt;="&amp;$D8)</f>
        <v>0</v>
      </c>
      <c r="H8" s="414">
        <f>COUNTIFS(集積用!$H:$H,$H$3,集積用!$Y:$Y,"●",集積用!$E:$E,"&gt;="&amp;$C8,集積用!$E:$E,"&lt;="&amp;$D8)</f>
        <v>0</v>
      </c>
      <c r="I8" s="418" t="e">
        <f t="shared" si="0"/>
        <v>#DIV/0!</v>
      </c>
      <c r="J8" s="418" t="e">
        <f t="shared" si="1"/>
        <v>#DIV/0!</v>
      </c>
      <c r="K8" s="414">
        <f>COUNTIFS(集積用!$H:$H,$K$3,集積用!$AO:$AO,"●",集積用!$E:$E,"&gt;="&amp;$C8,集積用!$E:$E,"&lt;="&amp;$D8)</f>
        <v>0</v>
      </c>
      <c r="L8" s="414">
        <f>COUNTIFS(集積用!$H:$H,$L$3,集積用!$AO:$AO,"●",集積用!$E:$E,"&gt;="&amp;$C8,集積用!$E:$E,"&lt;="&amp;$D8)</f>
        <v>0</v>
      </c>
      <c r="M8" s="418" t="e">
        <f t="shared" si="2"/>
        <v>#DIV/0!</v>
      </c>
      <c r="N8" s="418" t="e">
        <f t="shared" si="3"/>
        <v>#DIV/0!</v>
      </c>
    </row>
    <row r="9" spans="2:14" x14ac:dyDescent="0.3">
      <c r="B9" s="265" t="s">
        <v>697</v>
      </c>
      <c r="C9" s="267">
        <v>44593</v>
      </c>
      <c r="D9" s="267">
        <v>44620</v>
      </c>
      <c r="E9" s="414">
        <f>COUNTIFS(集積用!$H:$H,$E$3,集積用!$E:$E,"&gt;="&amp;$C9,集積用!$E:$E,"&lt;="&amp;$D9)</f>
        <v>0</v>
      </c>
      <c r="F9" s="414">
        <f>COUNTIFS(集積用!$H:$H,$F$3,集積用!$E:$E,"&gt;="&amp;$C9,集積用!$E:$E,"&lt;="&amp;$D9)</f>
        <v>0</v>
      </c>
      <c r="G9" s="414">
        <f>COUNTIFS(集積用!$H:$H,$G$3,集積用!$Y:$Y,"●",集積用!$E:$E,"&gt;="&amp;$C9,集積用!$E:$E,"&lt;="&amp;$D9)</f>
        <v>0</v>
      </c>
      <c r="H9" s="414">
        <f>COUNTIFS(集積用!$H:$H,$H$3,集積用!$Y:$Y,"●",集積用!$E:$E,"&gt;="&amp;$C9,集積用!$E:$E,"&lt;="&amp;$D9)</f>
        <v>0</v>
      </c>
      <c r="I9" s="418" t="e">
        <f t="shared" ref="I9:I11" si="4">G9/E9</f>
        <v>#DIV/0!</v>
      </c>
      <c r="J9" s="418" t="e">
        <f t="shared" ref="J9:J11" si="5">H9/F9</f>
        <v>#DIV/0!</v>
      </c>
      <c r="K9" s="414">
        <f>COUNTIFS(集積用!$H:$H,$K$3,集積用!$AO:$AO,"●",集積用!$E:$E,"&gt;="&amp;$C9,集積用!$E:$E,"&lt;="&amp;$D9)</f>
        <v>0</v>
      </c>
      <c r="L9" s="414">
        <f>COUNTIFS(集積用!$H:$H,$L$3,集積用!$AO:$AO,"●",集積用!$E:$E,"&gt;="&amp;$C9,集積用!$E:$E,"&lt;="&amp;$D9)</f>
        <v>0</v>
      </c>
      <c r="M9" s="418" t="e">
        <f t="shared" ref="M9:M11" si="6">K9/E9</f>
        <v>#DIV/0!</v>
      </c>
      <c r="N9" s="418" t="e">
        <f t="shared" ref="N9:N11" si="7">L9/F9</f>
        <v>#DIV/0!</v>
      </c>
    </row>
    <row r="10" spans="2:14" x14ac:dyDescent="0.3">
      <c r="B10" s="422" t="s">
        <v>698</v>
      </c>
      <c r="C10" s="267">
        <v>44621</v>
      </c>
      <c r="D10" s="267">
        <v>44651</v>
      </c>
      <c r="E10" s="414">
        <f>COUNTIFS(集積用!$H:$H,$E$3,集積用!$E:$E,"&gt;="&amp;$C10,集積用!$E:$E,"&lt;="&amp;$D10)</f>
        <v>0</v>
      </c>
      <c r="F10" s="414">
        <f>COUNTIFS(集積用!$H:$H,$F$3,集積用!$E:$E,"&gt;="&amp;$C10,集積用!$E:$E,"&lt;="&amp;$D10)</f>
        <v>0</v>
      </c>
      <c r="G10" s="414">
        <f>COUNTIFS(集積用!$H:$H,$G$3,集積用!$Y:$Y,"●",集積用!$E:$E,"&gt;="&amp;$C10,集積用!$E:$E,"&lt;="&amp;$D10)</f>
        <v>0</v>
      </c>
      <c r="H10" s="414">
        <f>COUNTIFS(集積用!$H:$H,$H$3,集積用!$Y:$Y,"●",集積用!$E:$E,"&gt;="&amp;$C10,集積用!$E:$E,"&lt;="&amp;$D10)</f>
        <v>0</v>
      </c>
      <c r="I10" s="418" t="e">
        <f t="shared" si="4"/>
        <v>#DIV/0!</v>
      </c>
      <c r="J10" s="418" t="e">
        <f t="shared" si="5"/>
        <v>#DIV/0!</v>
      </c>
      <c r="K10" s="414">
        <f>COUNTIFS(集積用!$H:$H,$K$3,集積用!$AO:$AO,"●",集積用!$E:$E,"&gt;="&amp;$C10,集積用!$E:$E,"&lt;="&amp;$D10)</f>
        <v>0</v>
      </c>
      <c r="L10" s="414">
        <f>COUNTIFS(集積用!$H:$H,$L$3,集積用!$AO:$AO,"●",集積用!$E:$E,"&gt;="&amp;$C10,集積用!$E:$E,"&lt;="&amp;$D10)</f>
        <v>0</v>
      </c>
      <c r="M10" s="418" t="e">
        <f t="shared" si="6"/>
        <v>#DIV/0!</v>
      </c>
      <c r="N10" s="418" t="e">
        <f t="shared" si="7"/>
        <v>#DIV/0!</v>
      </c>
    </row>
    <row r="11" spans="2:14" x14ac:dyDescent="0.3">
      <c r="B11" s="422" t="s">
        <v>699</v>
      </c>
      <c r="C11" s="267">
        <v>44652</v>
      </c>
      <c r="D11" s="267">
        <v>44681</v>
      </c>
      <c r="E11" s="414">
        <f>COUNTIFS(集積用!$H:$H,$E$3,集積用!$E:$E,"&gt;="&amp;$C11,集積用!$E:$E,"&lt;="&amp;$D11)</f>
        <v>0</v>
      </c>
      <c r="F11" s="414">
        <f>COUNTIFS(集積用!$H:$H,$F$3,集積用!$E:$E,"&gt;="&amp;$C11,集積用!$E:$E,"&lt;="&amp;$D11)</f>
        <v>0</v>
      </c>
      <c r="G11" s="414">
        <f>COUNTIFS(集積用!$H:$H,$G$3,集積用!$Y:$Y,"●",集積用!$E:$E,"&gt;="&amp;$C11,集積用!$E:$E,"&lt;="&amp;$D11)</f>
        <v>0</v>
      </c>
      <c r="H11" s="414">
        <f>COUNTIFS(集積用!$H:$H,$H$3,集積用!$Y:$Y,"●",集積用!$E:$E,"&gt;="&amp;$C11,集積用!$E:$E,"&lt;="&amp;$D11)</f>
        <v>0</v>
      </c>
      <c r="I11" s="418" t="e">
        <f t="shared" si="4"/>
        <v>#DIV/0!</v>
      </c>
      <c r="J11" s="418" t="e">
        <f t="shared" si="5"/>
        <v>#DIV/0!</v>
      </c>
      <c r="K11" s="414">
        <f>COUNTIFS(集積用!$H:$H,$K$3,集積用!$AO:$AO,"●",集積用!$E:$E,"&gt;="&amp;$C11,集積用!$E:$E,"&lt;="&amp;$D11)</f>
        <v>0</v>
      </c>
      <c r="L11" s="414">
        <f>COUNTIFS(集積用!$H:$H,$L$3,集積用!$AO:$AO,"●",集積用!$E:$E,"&gt;="&amp;$C11,集積用!$E:$E,"&lt;="&amp;$D11)</f>
        <v>0</v>
      </c>
      <c r="M11" s="418" t="e">
        <f t="shared" si="6"/>
        <v>#DIV/0!</v>
      </c>
      <c r="N11" s="418" t="e">
        <f t="shared" si="7"/>
        <v>#DIV/0!</v>
      </c>
    </row>
    <row r="12" spans="2:14" x14ac:dyDescent="0.3">
      <c r="B12" s="422" t="s">
        <v>700</v>
      </c>
      <c r="C12" s="267">
        <v>44682</v>
      </c>
      <c r="D12" s="267">
        <v>44712</v>
      </c>
      <c r="E12" s="414"/>
      <c r="F12" s="414"/>
      <c r="G12" s="414"/>
      <c r="H12" s="414"/>
      <c r="I12" s="418"/>
      <c r="J12" s="418"/>
      <c r="K12" s="414"/>
      <c r="L12" s="414"/>
      <c r="M12" s="418"/>
      <c r="N12" s="418"/>
    </row>
    <row r="13" spans="2:14" x14ac:dyDescent="0.3">
      <c r="B13" s="423" t="s">
        <v>701</v>
      </c>
      <c r="C13" s="267">
        <v>44713</v>
      </c>
      <c r="D13" s="267">
        <v>44742</v>
      </c>
      <c r="E13" s="414"/>
      <c r="F13" s="414"/>
      <c r="G13" s="414"/>
      <c r="H13" s="414"/>
      <c r="I13" s="418"/>
      <c r="J13" s="418"/>
      <c r="K13" s="414"/>
      <c r="L13" s="414"/>
      <c r="M13" s="418"/>
      <c r="N13" s="418"/>
    </row>
    <row r="14" spans="2:14" x14ac:dyDescent="0.3">
      <c r="B14" s="423" t="s">
        <v>571</v>
      </c>
      <c r="C14" s="267">
        <v>44743</v>
      </c>
      <c r="D14" s="267">
        <v>44773</v>
      </c>
      <c r="E14" s="414"/>
      <c r="F14" s="414"/>
      <c r="G14" s="414"/>
      <c r="H14" s="414"/>
      <c r="I14" s="419"/>
      <c r="J14" s="419"/>
      <c r="K14" s="414"/>
      <c r="L14" s="414"/>
      <c r="M14" s="414"/>
      <c r="N14" s="414"/>
    </row>
    <row r="15" spans="2:14" x14ac:dyDescent="0.3">
      <c r="B15" s="423" t="s">
        <v>572</v>
      </c>
      <c r="C15" s="267">
        <v>44774</v>
      </c>
      <c r="D15" s="267">
        <v>44804</v>
      </c>
      <c r="E15" s="414"/>
      <c r="F15" s="414"/>
      <c r="G15" s="414"/>
      <c r="H15" s="414"/>
      <c r="I15" s="419"/>
      <c r="J15" s="419"/>
      <c r="K15" s="414"/>
      <c r="L15" s="414"/>
      <c r="M15" s="414"/>
      <c r="N15" s="414"/>
    </row>
    <row r="17" spans="2:14" x14ac:dyDescent="0.3">
      <c r="B17" s="435"/>
      <c r="C17" s="436"/>
      <c r="D17" s="437"/>
      <c r="E17" s="435" t="s">
        <v>703</v>
      </c>
      <c r="F17" s="437"/>
      <c r="G17" s="440" t="s">
        <v>710</v>
      </c>
      <c r="H17" s="441"/>
      <c r="I17" s="440" t="s">
        <v>708</v>
      </c>
      <c r="J17" s="441"/>
      <c r="K17" s="438" t="s">
        <v>711</v>
      </c>
      <c r="L17" s="439"/>
      <c r="M17" s="438" t="s">
        <v>709</v>
      </c>
      <c r="N17" s="439"/>
    </row>
    <row r="18" spans="2:14" x14ac:dyDescent="0.3">
      <c r="B18" s="435" t="s">
        <v>702</v>
      </c>
      <c r="C18" s="436"/>
      <c r="D18" s="437"/>
      <c r="E18" s="421" t="s">
        <v>117</v>
      </c>
      <c r="F18" s="421" t="s">
        <v>118</v>
      </c>
      <c r="G18" s="416" t="s">
        <v>117</v>
      </c>
      <c r="H18" s="416" t="s">
        <v>118</v>
      </c>
      <c r="I18" s="416" t="s">
        <v>117</v>
      </c>
      <c r="J18" s="416" t="s">
        <v>118</v>
      </c>
      <c r="K18" s="417" t="s">
        <v>117</v>
      </c>
      <c r="L18" s="417" t="s">
        <v>118</v>
      </c>
      <c r="M18" s="417" t="s">
        <v>117</v>
      </c>
      <c r="N18" s="417" t="s">
        <v>118</v>
      </c>
    </row>
    <row r="19" spans="2:14" x14ac:dyDescent="0.3">
      <c r="B19" s="420" t="s">
        <v>704</v>
      </c>
      <c r="C19" s="267">
        <v>44440</v>
      </c>
      <c r="D19" s="267">
        <v>44530</v>
      </c>
      <c r="E19" s="414">
        <f>SUM(E4:E6)</f>
        <v>0</v>
      </c>
      <c r="F19" s="414">
        <f t="shared" ref="F19:L20" si="8">SUM(F4:F6)</f>
        <v>0</v>
      </c>
      <c r="G19" s="414">
        <f t="shared" si="8"/>
        <v>0</v>
      </c>
      <c r="H19" s="414">
        <f t="shared" si="8"/>
        <v>0</v>
      </c>
      <c r="I19" s="418" t="e">
        <f>G19/E19</f>
        <v>#DIV/0!</v>
      </c>
      <c r="J19" s="418" t="e">
        <f>H19/F19</f>
        <v>#DIV/0!</v>
      </c>
      <c r="K19" s="414">
        <f t="shared" si="8"/>
        <v>0</v>
      </c>
      <c r="L19" s="414">
        <f t="shared" si="8"/>
        <v>0</v>
      </c>
      <c r="M19" s="418" t="e">
        <f>K19/E19</f>
        <v>#DIV/0!</v>
      </c>
      <c r="N19" s="418" t="e">
        <f>L19/F19</f>
        <v>#DIV/0!</v>
      </c>
    </row>
    <row r="20" spans="2:14" x14ac:dyDescent="0.3">
      <c r="B20" s="265" t="s">
        <v>705</v>
      </c>
      <c r="C20" s="267">
        <v>44531</v>
      </c>
      <c r="D20" s="267">
        <v>44620</v>
      </c>
      <c r="E20" s="414">
        <f>SUM(E5:E7)</f>
        <v>0</v>
      </c>
      <c r="F20" s="414">
        <f t="shared" si="8"/>
        <v>0</v>
      </c>
      <c r="G20" s="414">
        <f t="shared" si="8"/>
        <v>0</v>
      </c>
      <c r="H20" s="414">
        <f t="shared" si="8"/>
        <v>0</v>
      </c>
      <c r="I20" s="418" t="e">
        <f>G20/E20</f>
        <v>#DIV/0!</v>
      </c>
      <c r="J20" s="418" t="e">
        <f>H20/F20</f>
        <v>#DIV/0!</v>
      </c>
      <c r="K20" s="414">
        <f t="shared" si="8"/>
        <v>0</v>
      </c>
      <c r="L20" s="414">
        <f t="shared" si="8"/>
        <v>0</v>
      </c>
      <c r="M20" s="418" t="e">
        <f>K20/E20</f>
        <v>#DIV/0!</v>
      </c>
      <c r="N20" s="418" t="e">
        <f>L20/F20</f>
        <v>#DIV/0!</v>
      </c>
    </row>
    <row r="21" spans="2:14" hidden="1" x14ac:dyDescent="0.3">
      <c r="B21" s="265" t="s">
        <v>706</v>
      </c>
      <c r="C21" s="267">
        <v>44621</v>
      </c>
      <c r="D21" s="267">
        <v>44712</v>
      </c>
      <c r="E21" s="414"/>
      <c r="F21" s="414"/>
      <c r="G21" s="414"/>
      <c r="H21" s="414"/>
      <c r="I21" s="414"/>
      <c r="J21" s="414"/>
      <c r="K21" s="414"/>
      <c r="L21" s="414"/>
      <c r="M21" s="414"/>
      <c r="N21" s="414"/>
    </row>
    <row r="22" spans="2:14" hidden="1" x14ac:dyDescent="0.3">
      <c r="B22" s="265" t="s">
        <v>707</v>
      </c>
      <c r="C22" s="267">
        <v>44713</v>
      </c>
      <c r="D22" s="267">
        <v>44804</v>
      </c>
      <c r="E22" s="414"/>
      <c r="F22" s="414"/>
      <c r="G22" s="414"/>
      <c r="H22" s="414"/>
      <c r="I22" s="414"/>
      <c r="J22" s="414"/>
      <c r="K22" s="414"/>
      <c r="L22" s="414"/>
      <c r="M22" s="414"/>
      <c r="N22" s="414"/>
    </row>
    <row r="23" spans="2:14" x14ac:dyDescent="0.3">
      <c r="B23" s="422" t="s">
        <v>723</v>
      </c>
    </row>
    <row r="24" spans="2:14" x14ac:dyDescent="0.3">
      <c r="B24" s="424" t="s">
        <v>724</v>
      </c>
    </row>
  </sheetData>
  <mergeCells count="18">
    <mergeCell ref="B18:D18"/>
    <mergeCell ref="M2:N2"/>
    <mergeCell ref="K2:L2"/>
    <mergeCell ref="K17:L17"/>
    <mergeCell ref="M17:N17"/>
    <mergeCell ref="B17:D17"/>
    <mergeCell ref="B3:D3"/>
    <mergeCell ref="E2:F2"/>
    <mergeCell ref="G2:H2"/>
    <mergeCell ref="I2:J2"/>
    <mergeCell ref="E17:F17"/>
    <mergeCell ref="G17:H17"/>
    <mergeCell ref="I17:J17"/>
    <mergeCell ref="M1:N1"/>
    <mergeCell ref="I1:J1"/>
    <mergeCell ref="K1:L1"/>
    <mergeCell ref="G1:H1"/>
    <mergeCell ref="B2:D2"/>
  </mergeCells>
  <phoneticPr fontId="2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3A5E1-ACA5-4F74-B25E-7DBE1A84D869}">
  <sheetPr codeName="Sheet7"/>
  <dimension ref="B1:N22"/>
  <sheetViews>
    <sheetView workbookViewId="0">
      <selection activeCell="E6" sqref="E6"/>
    </sheetView>
  </sheetViews>
  <sheetFormatPr defaultRowHeight="15" x14ac:dyDescent="0.3"/>
  <cols>
    <col min="1" max="1" width="3.81640625" customWidth="1"/>
    <col min="2" max="2" width="14.08984375" bestFit="1" customWidth="1"/>
    <col min="3" max="4" width="0" hidden="1" customWidth="1"/>
  </cols>
  <sheetData>
    <row r="1" spans="2:14" x14ac:dyDescent="0.3">
      <c r="G1" s="434" t="s">
        <v>713</v>
      </c>
      <c r="H1" s="434"/>
      <c r="I1" s="434" t="s">
        <v>714</v>
      </c>
      <c r="J1" s="434"/>
      <c r="K1" s="434" t="s">
        <v>712</v>
      </c>
      <c r="L1" s="434"/>
      <c r="M1" s="434" t="s">
        <v>714</v>
      </c>
      <c r="N1" s="434"/>
    </row>
    <row r="2" spans="2:14" x14ac:dyDescent="0.3">
      <c r="B2" s="427"/>
      <c r="C2" s="428"/>
      <c r="D2" s="429"/>
      <c r="E2" s="427" t="s">
        <v>703</v>
      </c>
      <c r="F2" s="429"/>
      <c r="G2" s="440" t="s">
        <v>710</v>
      </c>
      <c r="H2" s="441"/>
      <c r="I2" s="440" t="s">
        <v>708</v>
      </c>
      <c r="J2" s="441"/>
      <c r="K2" s="438" t="s">
        <v>711</v>
      </c>
      <c r="L2" s="439"/>
      <c r="M2" s="438" t="s">
        <v>709</v>
      </c>
      <c r="N2" s="439"/>
    </row>
    <row r="3" spans="2:14" x14ac:dyDescent="0.3">
      <c r="B3" s="427" t="s">
        <v>702</v>
      </c>
      <c r="C3" s="428"/>
      <c r="D3" s="429"/>
      <c r="E3" s="265" t="s">
        <v>117</v>
      </c>
      <c r="F3" s="265" t="s">
        <v>118</v>
      </c>
      <c r="G3" s="416" t="s">
        <v>117</v>
      </c>
      <c r="H3" s="416" t="s">
        <v>118</v>
      </c>
      <c r="I3" s="416" t="s">
        <v>117</v>
      </c>
      <c r="J3" s="416" t="s">
        <v>118</v>
      </c>
      <c r="K3" s="417" t="s">
        <v>117</v>
      </c>
      <c r="L3" s="417" t="s">
        <v>118</v>
      </c>
      <c r="M3" s="417" t="s">
        <v>117</v>
      </c>
      <c r="N3" s="417" t="s">
        <v>118</v>
      </c>
    </row>
    <row r="4" spans="2:14" x14ac:dyDescent="0.3">
      <c r="B4" s="265" t="s">
        <v>695</v>
      </c>
      <c r="C4" s="267">
        <v>44440</v>
      </c>
      <c r="D4" s="267">
        <v>44469</v>
      </c>
      <c r="E4" s="414" t="e">
        <f>COUNTIFS(#REF!,$E$3,#REF!,"&gt;="&amp;$C4,#REF!,"&lt;="&amp;$D4)</f>
        <v>#REF!</v>
      </c>
      <c r="F4" s="414" t="e">
        <f>COUNTIFS(#REF!,$F$3,#REF!,"&gt;="&amp;$C4,#REF!,"&lt;="&amp;$D4)</f>
        <v>#REF!</v>
      </c>
      <c r="G4" s="414" t="e">
        <f>COUNTIFS(#REF!,$G$3,#REF!,"●",#REF!,"&gt;="&amp;$C4,#REF!,"&lt;="&amp;$D4)</f>
        <v>#REF!</v>
      </c>
      <c r="H4" s="414" t="e">
        <f>COUNTIFS(#REF!,$H$3,#REF!,"●",#REF!,"&gt;="&amp;$C4,#REF!,"&lt;="&amp;$D4)</f>
        <v>#REF!</v>
      </c>
      <c r="I4" s="418" t="e">
        <f>G4/E4</f>
        <v>#REF!</v>
      </c>
      <c r="J4" s="418" t="e">
        <f>H4/F4</f>
        <v>#REF!</v>
      </c>
      <c r="K4" s="414" t="e">
        <f>COUNTIFS(#REF!,$K$3,#REF!,"&lt;&gt;",#REF!,"&gt;="&amp;$C4,#REF!,"&lt;="&amp;$D4)</f>
        <v>#REF!</v>
      </c>
      <c r="L4" s="414" t="e">
        <f>COUNTIFS(#REF!,$L$3,#REF!,"&lt;&gt;",#REF!,"&gt;="&amp;$C4,#REF!,"&lt;="&amp;$D4)</f>
        <v>#REF!</v>
      </c>
      <c r="M4" s="418" t="e">
        <f>K4/E4</f>
        <v>#REF!</v>
      </c>
      <c r="N4" s="418" t="e">
        <f>L4/F4</f>
        <v>#REF!</v>
      </c>
    </row>
    <row r="5" spans="2:14" x14ac:dyDescent="0.3">
      <c r="B5" s="265" t="s">
        <v>574</v>
      </c>
      <c r="C5" s="267">
        <v>44470</v>
      </c>
      <c r="D5" s="267">
        <v>44500</v>
      </c>
      <c r="E5" s="414" t="e">
        <f>COUNTIFS(#REF!,$E$3,#REF!,"&gt;="&amp;$C5,#REF!,"&lt;="&amp;$D5)</f>
        <v>#REF!</v>
      </c>
      <c r="F5" s="414" t="e">
        <f>COUNTIFS(#REF!,$F$3,#REF!,"&gt;="&amp;$C5,#REF!,"&lt;="&amp;$D5)</f>
        <v>#REF!</v>
      </c>
      <c r="G5" s="414" t="e">
        <f>COUNTIFS(#REF!,$G$3,#REF!,"●",#REF!,"&gt;="&amp;$C5,#REF!,"&lt;="&amp;$D5)</f>
        <v>#REF!</v>
      </c>
      <c r="H5" s="414" t="e">
        <f>COUNTIFS(#REF!,$H$3,#REF!,"●",#REF!,"&gt;="&amp;$C5,#REF!,"&lt;="&amp;$D5)</f>
        <v>#REF!</v>
      </c>
      <c r="I5" s="418" t="e">
        <f t="shared" ref="I5:J8" si="0">G5/E5</f>
        <v>#REF!</v>
      </c>
      <c r="J5" s="418" t="e">
        <f t="shared" si="0"/>
        <v>#REF!</v>
      </c>
      <c r="K5" s="414" t="e">
        <f>COUNTIFS(#REF!,$K$3,#REF!,"&lt;&gt;",#REF!,"&gt;="&amp;$C5,#REF!,"&lt;="&amp;$D5)</f>
        <v>#REF!</v>
      </c>
      <c r="L5" s="414" t="e">
        <f>COUNTIFS(#REF!,$L$3,#REF!,"&lt;&gt;",#REF!,"&gt;="&amp;$C5,#REF!,"&lt;="&amp;$D5)</f>
        <v>#REF!</v>
      </c>
      <c r="M5" s="418" t="e">
        <f t="shared" ref="M5:N8" si="1">K5/E5</f>
        <v>#REF!</v>
      </c>
      <c r="N5" s="418" t="e">
        <f t="shared" si="1"/>
        <v>#REF!</v>
      </c>
    </row>
    <row r="6" spans="2:14" x14ac:dyDescent="0.3">
      <c r="B6" s="265" t="s">
        <v>575</v>
      </c>
      <c r="C6" s="267">
        <v>44501</v>
      </c>
      <c r="D6" s="267">
        <v>44530</v>
      </c>
      <c r="E6" s="414" t="e">
        <f>COUNTIFS(#REF!,$E$3,#REF!,"&gt;="&amp;$C6,#REF!,"&lt;="&amp;$D6)</f>
        <v>#REF!</v>
      </c>
      <c r="F6" s="414" t="e">
        <f>COUNTIFS(#REF!,$F$3,#REF!,"&gt;="&amp;$C6,#REF!,"&lt;="&amp;$D6)</f>
        <v>#REF!</v>
      </c>
      <c r="G6" s="414" t="e">
        <f>COUNTIFS(#REF!,$G$3,#REF!,"●",#REF!,"&gt;="&amp;$C6,#REF!,"&lt;="&amp;$D6)</f>
        <v>#REF!</v>
      </c>
      <c r="H6" s="414" t="e">
        <f>COUNTIFS(#REF!,$H$3,#REF!,"●",#REF!,"&gt;="&amp;$C6,#REF!,"&lt;="&amp;$D6)</f>
        <v>#REF!</v>
      </c>
      <c r="I6" s="418" t="e">
        <f t="shared" si="0"/>
        <v>#REF!</v>
      </c>
      <c r="J6" s="418" t="e">
        <f t="shared" si="0"/>
        <v>#REF!</v>
      </c>
      <c r="K6" s="414" t="e">
        <f>COUNTIFS(#REF!,$K$3,#REF!,"&lt;&gt;",#REF!,"&gt;="&amp;$C6,#REF!,"&lt;="&amp;$D6)</f>
        <v>#REF!</v>
      </c>
      <c r="L6" s="414" t="e">
        <f>COUNTIFS(#REF!,$L$3,#REF!,"&lt;&gt;",#REF!,"&gt;="&amp;$C6,#REF!,"&lt;="&amp;$D6)</f>
        <v>#REF!</v>
      </c>
      <c r="M6" s="418" t="e">
        <f t="shared" si="1"/>
        <v>#REF!</v>
      </c>
      <c r="N6" s="418" t="e">
        <f t="shared" si="1"/>
        <v>#REF!</v>
      </c>
    </row>
    <row r="7" spans="2:14" x14ac:dyDescent="0.3">
      <c r="B7" s="265" t="s">
        <v>576</v>
      </c>
      <c r="C7" s="267">
        <v>44531</v>
      </c>
      <c r="D7" s="267">
        <v>44561</v>
      </c>
      <c r="E7" s="414" t="e">
        <f>COUNTIFS(#REF!,$E$3,#REF!,"&gt;="&amp;$C7,#REF!,"&lt;="&amp;$D7)</f>
        <v>#REF!</v>
      </c>
      <c r="F7" s="414" t="e">
        <f>COUNTIFS(#REF!,$F$3,#REF!,"&gt;="&amp;$C7,#REF!,"&lt;="&amp;$D7)</f>
        <v>#REF!</v>
      </c>
      <c r="G7" s="414" t="e">
        <f>COUNTIFS(#REF!,$G$3,#REF!,"●",#REF!,"&gt;="&amp;$C7,#REF!,"&lt;="&amp;$D7)</f>
        <v>#REF!</v>
      </c>
      <c r="H7" s="414" t="e">
        <f>COUNTIFS(#REF!,$H$3,#REF!,"●",#REF!,"&gt;="&amp;$C7,#REF!,"&lt;="&amp;$D7)</f>
        <v>#REF!</v>
      </c>
      <c r="I7" s="418" t="e">
        <f t="shared" si="0"/>
        <v>#REF!</v>
      </c>
      <c r="J7" s="418" t="e">
        <f t="shared" si="0"/>
        <v>#REF!</v>
      </c>
      <c r="K7" s="414" t="e">
        <f>COUNTIFS(#REF!,$K$3,#REF!,"&lt;&gt;",#REF!,"&gt;="&amp;$C7,#REF!,"&lt;="&amp;$D7)</f>
        <v>#REF!</v>
      </c>
      <c r="L7" s="414" t="e">
        <f>COUNTIFS(#REF!,$L$3,#REF!,"&lt;&gt;",#REF!,"&gt;="&amp;$C7,#REF!,"&lt;="&amp;$D7)</f>
        <v>#REF!</v>
      </c>
      <c r="M7" s="418" t="e">
        <f t="shared" si="1"/>
        <v>#REF!</v>
      </c>
      <c r="N7" s="418" t="e">
        <f t="shared" si="1"/>
        <v>#REF!</v>
      </c>
    </row>
    <row r="8" spans="2:14" x14ac:dyDescent="0.3">
      <c r="B8" s="265" t="s">
        <v>696</v>
      </c>
      <c r="C8" s="267">
        <v>44562</v>
      </c>
      <c r="D8" s="267">
        <v>44592</v>
      </c>
      <c r="E8" s="414" t="e">
        <f>COUNTIFS(#REF!,$E$3,#REF!,"&gt;="&amp;$C8,#REF!,"&lt;="&amp;$D8)</f>
        <v>#REF!</v>
      </c>
      <c r="F8" s="414" t="e">
        <f>COUNTIFS(#REF!,$F$3,#REF!,"&gt;="&amp;$C8,#REF!,"&lt;="&amp;$D8)</f>
        <v>#REF!</v>
      </c>
      <c r="G8" s="414" t="e">
        <f>COUNTIFS(#REF!,$G$3,#REF!,"●",#REF!,"&gt;="&amp;$C8,#REF!,"&lt;="&amp;$D8)</f>
        <v>#REF!</v>
      </c>
      <c r="H8" s="414" t="e">
        <f>COUNTIFS(#REF!,$H$3,#REF!,"●",#REF!,"&gt;="&amp;$C8,#REF!,"&lt;="&amp;$D8)</f>
        <v>#REF!</v>
      </c>
      <c r="I8" s="418" t="e">
        <f t="shared" si="0"/>
        <v>#REF!</v>
      </c>
      <c r="J8" s="418" t="e">
        <f t="shared" si="0"/>
        <v>#REF!</v>
      </c>
      <c r="K8" s="414" t="e">
        <f>COUNTIFS(#REF!,$K$3,#REF!,"&lt;&gt;",#REF!,"&gt;="&amp;$C8,#REF!,"&lt;="&amp;$D8)</f>
        <v>#REF!</v>
      </c>
      <c r="L8" s="414" t="e">
        <f>COUNTIFS(#REF!,$L$3,#REF!,"&lt;&gt;",#REF!,"&gt;="&amp;$C8,#REF!,"&lt;="&amp;$D8)</f>
        <v>#REF!</v>
      </c>
      <c r="M8" s="418" t="e">
        <f t="shared" si="1"/>
        <v>#REF!</v>
      </c>
      <c r="N8" s="418" t="e">
        <f t="shared" si="1"/>
        <v>#REF!</v>
      </c>
    </row>
    <row r="9" spans="2:14" hidden="1" x14ac:dyDescent="0.3">
      <c r="B9" s="265" t="s">
        <v>697</v>
      </c>
      <c r="C9" s="267">
        <v>44593</v>
      </c>
      <c r="D9" s="267">
        <v>44620</v>
      </c>
      <c r="E9" s="414"/>
      <c r="F9" s="414"/>
      <c r="G9" s="414"/>
      <c r="H9" s="414"/>
      <c r="I9" s="419"/>
      <c r="J9" s="419"/>
      <c r="K9" s="414"/>
      <c r="L9" s="414"/>
      <c r="M9" s="414"/>
      <c r="N9" s="414"/>
    </row>
    <row r="10" spans="2:14" hidden="1" x14ac:dyDescent="0.3">
      <c r="B10" s="265" t="s">
        <v>698</v>
      </c>
      <c r="C10" s="267">
        <v>44621</v>
      </c>
      <c r="D10" s="267">
        <v>44651</v>
      </c>
      <c r="E10" s="414"/>
      <c r="F10" s="414"/>
      <c r="G10" s="414"/>
      <c r="H10" s="414"/>
      <c r="I10" s="419"/>
      <c r="J10" s="419"/>
      <c r="K10" s="414"/>
      <c r="L10" s="414"/>
      <c r="M10" s="414"/>
      <c r="N10" s="414"/>
    </row>
    <row r="11" spans="2:14" hidden="1" x14ac:dyDescent="0.3">
      <c r="B11" s="265" t="s">
        <v>699</v>
      </c>
      <c r="C11" s="267">
        <v>44652</v>
      </c>
      <c r="D11" s="267">
        <v>44681</v>
      </c>
      <c r="E11" s="414"/>
      <c r="F11" s="414"/>
      <c r="G11" s="414"/>
      <c r="H11" s="414"/>
      <c r="I11" s="419"/>
      <c r="J11" s="419"/>
      <c r="K11" s="414"/>
      <c r="L11" s="414"/>
      <c r="M11" s="414"/>
      <c r="N11" s="414"/>
    </row>
    <row r="12" spans="2:14" hidden="1" x14ac:dyDescent="0.3">
      <c r="B12" s="265" t="s">
        <v>700</v>
      </c>
      <c r="C12" s="267">
        <v>44682</v>
      </c>
      <c r="D12" s="267">
        <v>44712</v>
      </c>
      <c r="E12" s="414"/>
      <c r="F12" s="414"/>
      <c r="G12" s="414"/>
      <c r="H12" s="414"/>
      <c r="I12" s="419"/>
      <c r="J12" s="419"/>
      <c r="K12" s="414"/>
      <c r="L12" s="414"/>
      <c r="M12" s="414"/>
      <c r="N12" s="414"/>
    </row>
    <row r="13" spans="2:14" hidden="1" x14ac:dyDescent="0.3">
      <c r="B13" s="265" t="s">
        <v>701</v>
      </c>
      <c r="C13" s="267">
        <v>44713</v>
      </c>
      <c r="D13" s="267">
        <v>44742</v>
      </c>
      <c r="E13" s="414"/>
      <c r="F13" s="414"/>
      <c r="G13" s="414"/>
      <c r="H13" s="414"/>
      <c r="I13" s="419"/>
      <c r="J13" s="419"/>
      <c r="K13" s="414"/>
      <c r="L13" s="414"/>
      <c r="M13" s="414"/>
      <c r="N13" s="414"/>
    </row>
    <row r="14" spans="2:14" hidden="1" x14ac:dyDescent="0.3">
      <c r="B14" s="265" t="s">
        <v>571</v>
      </c>
      <c r="C14" s="267">
        <v>44743</v>
      </c>
      <c r="D14" s="267">
        <v>44773</v>
      </c>
      <c r="E14" s="414"/>
      <c r="F14" s="414"/>
      <c r="G14" s="414"/>
      <c r="H14" s="414"/>
      <c r="I14" s="419"/>
      <c r="J14" s="419"/>
      <c r="K14" s="414"/>
      <c r="L14" s="414"/>
      <c r="M14" s="414"/>
      <c r="N14" s="414"/>
    </row>
    <row r="15" spans="2:14" hidden="1" x14ac:dyDescent="0.3">
      <c r="B15" s="265" t="s">
        <v>572</v>
      </c>
      <c r="C15" s="267">
        <v>44774</v>
      </c>
      <c r="D15" s="267">
        <v>44804</v>
      </c>
      <c r="E15" s="414"/>
      <c r="F15" s="414"/>
      <c r="G15" s="414"/>
      <c r="H15" s="414"/>
      <c r="I15" s="419"/>
      <c r="J15" s="419"/>
      <c r="K15" s="414"/>
      <c r="L15" s="414"/>
      <c r="M15" s="414"/>
      <c r="N15" s="414"/>
    </row>
    <row r="17" spans="2:14" x14ac:dyDescent="0.3">
      <c r="B17" s="427"/>
      <c r="C17" s="428"/>
      <c r="D17" s="429"/>
      <c r="E17" s="427" t="s">
        <v>703</v>
      </c>
      <c r="F17" s="429"/>
      <c r="G17" s="440" t="s">
        <v>710</v>
      </c>
      <c r="H17" s="441"/>
      <c r="I17" s="440" t="s">
        <v>708</v>
      </c>
      <c r="J17" s="441"/>
      <c r="K17" s="438" t="s">
        <v>711</v>
      </c>
      <c r="L17" s="439"/>
      <c r="M17" s="438" t="s">
        <v>709</v>
      </c>
      <c r="N17" s="439"/>
    </row>
    <row r="18" spans="2:14" x14ac:dyDescent="0.3">
      <c r="B18" s="427" t="s">
        <v>702</v>
      </c>
      <c r="C18" s="428"/>
      <c r="D18" s="429"/>
      <c r="E18" s="265" t="s">
        <v>117</v>
      </c>
      <c r="F18" s="265" t="s">
        <v>118</v>
      </c>
      <c r="G18" s="416" t="s">
        <v>117</v>
      </c>
      <c r="H18" s="416" t="s">
        <v>118</v>
      </c>
      <c r="I18" s="416" t="s">
        <v>117</v>
      </c>
      <c r="J18" s="416" t="s">
        <v>118</v>
      </c>
      <c r="K18" s="417" t="s">
        <v>117</v>
      </c>
      <c r="L18" s="417" t="s">
        <v>118</v>
      </c>
      <c r="M18" s="417" t="s">
        <v>117</v>
      </c>
      <c r="N18" s="417" t="s">
        <v>118</v>
      </c>
    </row>
    <row r="19" spans="2:14" x14ac:dyDescent="0.3">
      <c r="B19" s="265" t="s">
        <v>704</v>
      </c>
      <c r="C19" s="267">
        <v>44440</v>
      </c>
      <c r="D19" s="267">
        <v>44530</v>
      </c>
      <c r="E19" s="414" t="e">
        <f>SUM(E4:E6)</f>
        <v>#REF!</v>
      </c>
      <c r="F19" s="414" t="e">
        <f t="shared" ref="F19:L19" si="2">SUM(F4:F6)</f>
        <v>#REF!</v>
      </c>
      <c r="G19" s="414" t="e">
        <f t="shared" si="2"/>
        <v>#REF!</v>
      </c>
      <c r="H19" s="414" t="e">
        <f t="shared" si="2"/>
        <v>#REF!</v>
      </c>
      <c r="I19" s="418" t="e">
        <f>G19/E19</f>
        <v>#REF!</v>
      </c>
      <c r="J19" s="418" t="e">
        <f>H19/F19</f>
        <v>#REF!</v>
      </c>
      <c r="K19" s="414" t="e">
        <f t="shared" si="2"/>
        <v>#REF!</v>
      </c>
      <c r="L19" s="414" t="e">
        <f t="shared" si="2"/>
        <v>#REF!</v>
      </c>
      <c r="M19" s="418" t="e">
        <f>K19/E19</f>
        <v>#REF!</v>
      </c>
      <c r="N19" s="418" t="e">
        <f>L19/F19</f>
        <v>#REF!</v>
      </c>
    </row>
    <row r="20" spans="2:14" x14ac:dyDescent="0.3">
      <c r="B20" s="265" t="s">
        <v>705</v>
      </c>
      <c r="C20" s="267">
        <v>44531</v>
      </c>
      <c r="D20" s="267">
        <v>44620</v>
      </c>
      <c r="E20" s="414"/>
      <c r="F20" s="414"/>
      <c r="G20" s="414"/>
      <c r="H20" s="414"/>
      <c r="I20" s="415"/>
      <c r="J20" s="415"/>
      <c r="K20" s="414"/>
      <c r="L20" s="414"/>
      <c r="M20" s="415"/>
      <c r="N20" s="415"/>
    </row>
    <row r="21" spans="2:14" hidden="1" x14ac:dyDescent="0.3">
      <c r="B21" s="265" t="s">
        <v>706</v>
      </c>
      <c r="C21" s="267">
        <v>44621</v>
      </c>
      <c r="D21" s="267">
        <v>44712</v>
      </c>
      <c r="E21" s="414"/>
      <c r="F21" s="414"/>
      <c r="G21" s="414"/>
      <c r="H21" s="414"/>
      <c r="I21" s="414"/>
      <c r="J21" s="414"/>
      <c r="K21" s="414"/>
      <c r="L21" s="414"/>
      <c r="M21" s="414"/>
      <c r="N21" s="414"/>
    </row>
    <row r="22" spans="2:14" hidden="1" x14ac:dyDescent="0.3">
      <c r="B22" s="265" t="s">
        <v>707</v>
      </c>
      <c r="C22" s="267">
        <v>44713</v>
      </c>
      <c r="D22" s="267">
        <v>44804</v>
      </c>
      <c r="E22" s="414"/>
      <c r="F22" s="414"/>
      <c r="G22" s="414"/>
      <c r="H22" s="414"/>
      <c r="I22" s="414"/>
      <c r="J22" s="414"/>
      <c r="K22" s="414"/>
      <c r="L22" s="414"/>
      <c r="M22" s="414"/>
      <c r="N22" s="414"/>
    </row>
  </sheetData>
  <mergeCells count="18">
    <mergeCell ref="M17:N17"/>
    <mergeCell ref="B18:D18"/>
    <mergeCell ref="B3:D3"/>
    <mergeCell ref="B17:D17"/>
    <mergeCell ref="E17:F17"/>
    <mergeCell ref="G17:H17"/>
    <mergeCell ref="I17:J17"/>
    <mergeCell ref="K17:L17"/>
    <mergeCell ref="G1:H1"/>
    <mergeCell ref="I1:J1"/>
    <mergeCell ref="K1:L1"/>
    <mergeCell ref="M1:N1"/>
    <mergeCell ref="B2:D2"/>
    <mergeCell ref="E2:F2"/>
    <mergeCell ref="G2:H2"/>
    <mergeCell ref="I2:J2"/>
    <mergeCell ref="K2:L2"/>
    <mergeCell ref="M2:N2"/>
  </mergeCells>
  <phoneticPr fontId="22"/>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7F37-A2EC-4C62-8E52-0AD9B32F589C}">
  <sheetPr codeName="Sheet8"/>
  <dimension ref="A1:AH5"/>
  <sheetViews>
    <sheetView zoomScale="55" zoomScaleNormal="55" workbookViewId="0">
      <selection activeCell="N9" sqref="N9"/>
    </sheetView>
  </sheetViews>
  <sheetFormatPr defaultColWidth="8.81640625" defaultRowHeight="100.2" customHeight="1" x14ac:dyDescent="0.3"/>
  <cols>
    <col min="1" max="1" width="3.90625" style="337" customWidth="1"/>
    <col min="2" max="2" width="7.6328125" style="326" customWidth="1"/>
    <col min="3" max="3" width="7.6328125" style="271" customWidth="1"/>
    <col min="4" max="4" width="8.6328125" style="327" customWidth="1"/>
    <col min="5" max="5" width="8.6328125" style="327" hidden="1" customWidth="1"/>
    <col min="6" max="6" width="15.6328125" style="328" customWidth="1"/>
    <col min="7" max="7" width="10.6328125" style="329" customWidth="1"/>
    <col min="8" max="8" width="12.6328125" style="329" hidden="1" customWidth="1"/>
    <col min="9" max="9" width="30.6328125" style="330" customWidth="1"/>
    <col min="10" max="10" width="14.6328125" style="213" customWidth="1"/>
    <col min="11" max="11" width="14.6328125" style="331" customWidth="1"/>
    <col min="12" max="14" width="30.6328125" style="332" customWidth="1"/>
    <col min="15" max="15" width="14.6328125" style="333" customWidth="1"/>
    <col min="16" max="16" width="14.6328125" style="214" customWidth="1"/>
    <col min="17" max="16384" width="8.81640625" style="325"/>
  </cols>
  <sheetData>
    <row r="1" spans="1:34" s="103" customFormat="1" ht="30" customHeight="1" x14ac:dyDescent="0.3">
      <c r="A1" s="335"/>
      <c r="B1" s="195"/>
      <c r="C1" s="195"/>
      <c r="D1" s="195"/>
      <c r="E1" s="195"/>
      <c r="F1" s="306"/>
      <c r="G1" s="195"/>
      <c r="H1" s="195"/>
      <c r="I1" s="195"/>
      <c r="J1" s="208"/>
      <c r="K1" s="208"/>
      <c r="L1" s="195"/>
      <c r="M1" s="195"/>
      <c r="N1" s="195"/>
      <c r="O1" s="274"/>
      <c r="P1" s="209"/>
      <c r="Q1" s="348" t="s">
        <v>659</v>
      </c>
      <c r="R1" s="308" t="s">
        <v>648</v>
      </c>
      <c r="S1" s="209"/>
      <c r="T1" s="209"/>
      <c r="U1" s="209"/>
      <c r="V1" s="209"/>
      <c r="W1" s="209"/>
      <c r="X1" s="209"/>
      <c r="Y1" s="209"/>
      <c r="Z1" s="209"/>
      <c r="AA1" s="209"/>
      <c r="AB1" s="209"/>
      <c r="AC1" s="209"/>
      <c r="AD1" s="209"/>
      <c r="AE1" s="209"/>
      <c r="AF1" s="209"/>
      <c r="AG1" s="209"/>
      <c r="AH1" s="209"/>
    </row>
    <row r="2" spans="1:34" s="103" customFormat="1" ht="25.2" customHeight="1" x14ac:dyDescent="0.3">
      <c r="A2" s="335"/>
      <c r="B2" s="432" t="s">
        <v>445</v>
      </c>
      <c r="C2" s="433"/>
      <c r="D2" s="105"/>
      <c r="E2" s="105"/>
      <c r="F2" s="355" t="s">
        <v>687</v>
      </c>
      <c r="G2" s="220"/>
      <c r="J2" s="207" t="s">
        <v>558</v>
      </c>
      <c r="K2" s="207" t="s">
        <v>557</v>
      </c>
      <c r="L2" s="183" t="s">
        <v>561</v>
      </c>
      <c r="O2" s="107"/>
      <c r="R2" s="443" t="s">
        <v>666</v>
      </c>
      <c r="S2" s="444"/>
      <c r="T2" s="444"/>
      <c r="U2" s="444"/>
      <c r="V2" s="444"/>
      <c r="W2" s="444"/>
      <c r="X2" s="444"/>
      <c r="Y2" s="444"/>
      <c r="Z2" s="444"/>
      <c r="AA2" s="444"/>
      <c r="AB2" s="444"/>
      <c r="AC2" s="444"/>
      <c r="AD2" s="444"/>
      <c r="AE2" s="444"/>
      <c r="AF2" s="444"/>
      <c r="AG2" s="444"/>
      <c r="AH2" s="445"/>
    </row>
    <row r="3" spans="1:34" s="103" customFormat="1" ht="30" x14ac:dyDescent="0.3">
      <c r="A3" s="335"/>
      <c r="B3" s="225">
        <v>44398</v>
      </c>
      <c r="C3" s="225">
        <f>EDATE(B3,1)-1</f>
        <v>44428</v>
      </c>
      <c r="D3" s="316"/>
      <c r="E3" s="107"/>
      <c r="F3" s="317" t="s">
        <v>665</v>
      </c>
      <c r="G3" s="104"/>
      <c r="I3" s="318" t="s">
        <v>667</v>
      </c>
      <c r="J3" s="224">
        <f>COUNTIFS(G:G,J2)</f>
        <v>0</v>
      </c>
      <c r="K3" s="224">
        <f>COUNTIFS(G:G,K2)</f>
        <v>0</v>
      </c>
      <c r="L3" s="224">
        <f>COUNTIFS(G:G,"&lt;&gt;")-1</f>
        <v>0</v>
      </c>
      <c r="O3" s="107"/>
      <c r="R3" s="446"/>
      <c r="S3" s="447"/>
      <c r="T3" s="447"/>
      <c r="U3" s="447"/>
      <c r="V3" s="447"/>
      <c r="W3" s="447"/>
      <c r="X3" s="447"/>
      <c r="Y3" s="447"/>
      <c r="Z3" s="447"/>
      <c r="AA3" s="447"/>
      <c r="AB3" s="447"/>
      <c r="AC3" s="447"/>
      <c r="AD3" s="447"/>
      <c r="AE3" s="447"/>
      <c r="AF3" s="447"/>
      <c r="AG3" s="447"/>
      <c r="AH3" s="448"/>
    </row>
    <row r="4" spans="1:34" s="103" customFormat="1" ht="13.2" customHeight="1" x14ac:dyDescent="0.3">
      <c r="A4" s="335"/>
      <c r="B4" s="442"/>
      <c r="C4" s="442"/>
      <c r="D4" s="105"/>
      <c r="E4" s="105"/>
      <c r="F4" s="307"/>
      <c r="G4" s="108"/>
      <c r="H4" s="108"/>
      <c r="I4" s="119"/>
      <c r="J4" s="210"/>
      <c r="K4" s="212"/>
      <c r="L4" s="106"/>
      <c r="M4" s="106"/>
      <c r="N4" s="106"/>
      <c r="O4" s="106"/>
      <c r="P4" s="211"/>
      <c r="R4" s="446"/>
      <c r="S4" s="447"/>
      <c r="T4" s="447"/>
      <c r="U4" s="447"/>
      <c r="V4" s="447"/>
      <c r="W4" s="447"/>
      <c r="X4" s="447"/>
      <c r="Y4" s="447"/>
      <c r="Z4" s="447"/>
      <c r="AA4" s="447"/>
      <c r="AB4" s="447"/>
      <c r="AC4" s="447"/>
      <c r="AD4" s="447"/>
      <c r="AE4" s="447"/>
      <c r="AF4" s="447"/>
      <c r="AG4" s="447"/>
      <c r="AH4" s="448"/>
    </row>
    <row r="5" spans="1:34" s="109" customFormat="1" ht="34.950000000000003" customHeight="1" x14ac:dyDescent="0.3">
      <c r="A5" s="336" t="s">
        <v>674</v>
      </c>
      <c r="B5" s="111" t="s">
        <v>684</v>
      </c>
      <c r="C5" s="114" t="s">
        <v>362</v>
      </c>
      <c r="D5" s="113" t="s">
        <v>660</v>
      </c>
      <c r="E5" s="113" t="s">
        <v>661</v>
      </c>
      <c r="F5" s="292" t="s">
        <v>363</v>
      </c>
      <c r="G5" s="112" t="s">
        <v>364</v>
      </c>
      <c r="H5" s="112" t="s">
        <v>423</v>
      </c>
      <c r="I5" s="111" t="s">
        <v>365</v>
      </c>
      <c r="J5" s="221" t="s">
        <v>530</v>
      </c>
      <c r="K5" s="223" t="s">
        <v>532</v>
      </c>
      <c r="L5" s="111" t="s">
        <v>367</v>
      </c>
      <c r="M5" s="111" t="s">
        <v>559</v>
      </c>
      <c r="N5" s="111" t="s">
        <v>600</v>
      </c>
      <c r="O5" s="215" t="s">
        <v>562</v>
      </c>
      <c r="P5" s="222" t="s">
        <v>531</v>
      </c>
      <c r="R5" s="449"/>
      <c r="S5" s="450"/>
      <c r="T5" s="450"/>
      <c r="U5" s="450"/>
      <c r="V5" s="450"/>
      <c r="W5" s="450"/>
      <c r="X5" s="450"/>
      <c r="Y5" s="450"/>
      <c r="Z5" s="450"/>
      <c r="AA5" s="450"/>
      <c r="AB5" s="450"/>
      <c r="AC5" s="450"/>
      <c r="AD5" s="450"/>
      <c r="AE5" s="450"/>
      <c r="AF5" s="450"/>
      <c r="AG5" s="450"/>
      <c r="AH5" s="451"/>
    </row>
  </sheetData>
  <autoFilter ref="B5:P5" xr:uid="{2897B613-26CE-4B0A-B298-8AED3F2F25B7}"/>
  <mergeCells count="3">
    <mergeCell ref="B2:C2"/>
    <mergeCell ref="B4:C4"/>
    <mergeCell ref="R2:AH5"/>
  </mergeCells>
  <phoneticPr fontId="22"/>
  <conditionalFormatting sqref="B1:P1048576">
    <cfRule type="expression" dxfId="21" priority="1">
      <formul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決算管理表作成">
                <anchor moveWithCells="1" sizeWithCells="1">
                  <from>
                    <xdr:col>8</xdr:col>
                    <xdr:colOff>22860</xdr:colOff>
                    <xdr:row>2</xdr:row>
                    <xdr:rowOff>0</xdr:rowOff>
                  </from>
                  <to>
                    <xdr:col>8</xdr:col>
                    <xdr:colOff>2552700</xdr:colOff>
                    <xdr:row>3</xdr:row>
                    <xdr:rowOff>0</xdr:rowOff>
                  </to>
                </anchor>
              </controlPr>
            </control>
          </mc:Choice>
        </mc:AlternateContent>
        <mc:AlternateContent xmlns:mc="http://schemas.openxmlformats.org/markup-compatibility/2006">
          <mc:Choice Requires="x14">
            <control shapeId="68611" r:id="rId5" name="Button 3">
              <controlPr defaultSize="0" print="0" autoFill="0" autoPict="0" macro="[0]!全シート共通クリアボタン">
                <anchor moveWithCells="1" sizeWithCells="1">
                  <from>
                    <xdr:col>15</xdr:col>
                    <xdr:colOff>22860</xdr:colOff>
                    <xdr:row>2</xdr:row>
                    <xdr:rowOff>22860</xdr:rowOff>
                  </from>
                  <to>
                    <xdr:col>16</xdr:col>
                    <xdr:colOff>0</xdr:colOff>
                    <xdr:row>3</xdr:row>
                    <xdr:rowOff>0</xdr:rowOff>
                  </to>
                </anchor>
              </controlPr>
            </control>
          </mc:Choice>
        </mc:AlternateContent>
        <mc:AlternateContent xmlns:mc="http://schemas.openxmlformats.org/markup-compatibility/2006">
          <mc:Choice Requires="x14">
            <control shapeId="68613" r:id="rId6" name="Button 5">
              <controlPr defaultSize="0" print="0" autoFill="0" autoPict="0" macro="[0]!決算管理表シート書き出し">
                <anchor moveWithCells="1" sizeWithCells="1">
                  <from>
                    <xdr:col>14</xdr:col>
                    <xdr:colOff>22860</xdr:colOff>
                    <xdr:row>2</xdr:row>
                    <xdr:rowOff>22860</xdr:rowOff>
                  </from>
                  <to>
                    <xdr:col>14</xdr:col>
                    <xdr:colOff>1219200</xdr:colOff>
                    <xdr:row>2</xdr:row>
                    <xdr:rowOff>381000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71434-CE79-4F45-9D55-5E7ED6DC491E}">
  <sheetPr codeName="Sheet19"/>
  <dimension ref="A1:L8"/>
  <sheetViews>
    <sheetView tabSelected="1" zoomScale="70" zoomScaleNormal="70" workbookViewId="0">
      <pane ySplit="6" topLeftCell="A7" activePane="bottomLeft" state="frozen"/>
      <selection activeCell="B40" sqref="B40"/>
      <selection pane="bottomLeft" activeCell="E10" sqref="E10"/>
    </sheetView>
  </sheetViews>
  <sheetFormatPr defaultColWidth="7.81640625" defaultRowHeight="16.2" x14ac:dyDescent="0.3"/>
  <cols>
    <col min="1" max="1" width="7.81640625" style="338" customWidth="1"/>
    <col min="2" max="2" width="10.6328125" style="124" customWidth="1"/>
    <col min="3" max="3" width="15.6328125" style="167" customWidth="1"/>
    <col min="4" max="4" width="25.6328125" style="128" customWidth="1"/>
    <col min="5" max="5" width="15.6328125" style="126" customWidth="1"/>
    <col min="6" max="6" width="15.6328125" style="127" customWidth="1"/>
    <col min="7" max="7" width="36.08984375" style="128" bestFit="1" customWidth="1"/>
    <col min="8" max="8" width="15.6328125" style="250" customWidth="1"/>
    <col min="9" max="9" width="40.6328125" style="125" customWidth="1"/>
    <col min="10" max="10" width="40.6328125" style="125" hidden="1" customWidth="1"/>
    <col min="11" max="11" width="40.6328125" style="122" hidden="1" customWidth="1"/>
    <col min="12" max="12" width="8.6328125" style="122" customWidth="1"/>
    <col min="13" max="16384" width="7.81640625" style="122"/>
  </cols>
  <sheetData>
    <row r="1" spans="1:12" ht="19.95" hidden="1" customHeight="1" x14ac:dyDescent="0.3">
      <c r="B1" s="122"/>
      <c r="C1" s="127"/>
      <c r="D1" s="123"/>
      <c r="E1" s="122"/>
      <c r="F1" s="122"/>
      <c r="G1" s="123"/>
      <c r="I1" s="122"/>
      <c r="J1" s="122"/>
    </row>
    <row r="2" spans="1:12" ht="40.200000000000003" customHeight="1" x14ac:dyDescent="0.3">
      <c r="B2" s="217"/>
      <c r="C2" s="218"/>
      <c r="D2" s="218"/>
      <c r="E2" s="218"/>
      <c r="F2" s="218"/>
      <c r="G2" s="218"/>
      <c r="H2" s="251"/>
      <c r="I2" s="218"/>
      <c r="J2" s="219"/>
      <c r="K2" s="219"/>
      <c r="L2" s="348" t="s">
        <v>659</v>
      </c>
    </row>
    <row r="3" spans="1:12" ht="19.95" customHeight="1" x14ac:dyDescent="0.3">
      <c r="C3" s="432" t="s">
        <v>445</v>
      </c>
      <c r="D3" s="433"/>
      <c r="E3" s="344" t="s">
        <v>560</v>
      </c>
      <c r="F3" s="252">
        <f>(COUNTIF(B:B,"&lt;&gt;")-2)-COUNTIF(C:C,"完了")</f>
        <v>-1</v>
      </c>
      <c r="G3" s="452" t="s">
        <v>658</v>
      </c>
      <c r="H3" s="454">
        <f>SUMIF(B:B,"&lt;&gt;",E:E)-SUMIF(C:C,"完了",E:E)</f>
        <v>0</v>
      </c>
      <c r="I3" s="122"/>
      <c r="J3" s="249"/>
    </row>
    <row r="4" spans="1:12" ht="19.95" customHeight="1" x14ac:dyDescent="0.3">
      <c r="B4" s="216"/>
      <c r="C4" s="346">
        <v>44713</v>
      </c>
      <c r="D4" s="346">
        <f>EOMONTH($C$4,0)</f>
        <v>44742</v>
      </c>
      <c r="E4" s="198" t="s">
        <v>550</v>
      </c>
      <c r="F4" s="248" t="s">
        <v>568</v>
      </c>
      <c r="G4" s="453"/>
      <c r="H4" s="455"/>
      <c r="I4" s="122"/>
      <c r="J4" s="122"/>
    </row>
    <row r="5" spans="1:12" ht="19.95" customHeight="1" x14ac:dyDescent="0.3">
      <c r="B5" s="122"/>
      <c r="C5" s="127"/>
      <c r="D5" s="129"/>
      <c r="E5" s="122"/>
      <c r="F5" s="122"/>
      <c r="G5" s="123"/>
      <c r="I5" s="122"/>
      <c r="J5" s="122"/>
    </row>
    <row r="6" spans="1:12" ht="25.2" customHeight="1" x14ac:dyDescent="0.3">
      <c r="A6" s="334" t="s">
        <v>673</v>
      </c>
      <c r="B6" s="160" t="s">
        <v>715</v>
      </c>
      <c r="C6" s="160" t="s">
        <v>716</v>
      </c>
      <c r="D6" s="161" t="s">
        <v>717</v>
      </c>
      <c r="E6" s="162" t="s">
        <v>722</v>
      </c>
      <c r="F6" s="162" t="s">
        <v>530</v>
      </c>
      <c r="G6" s="161" t="s">
        <v>170</v>
      </c>
      <c r="H6" s="161" t="s">
        <v>718</v>
      </c>
      <c r="I6" s="161" t="s">
        <v>719</v>
      </c>
      <c r="J6" s="163" t="s">
        <v>720</v>
      </c>
      <c r="K6" s="162" t="s">
        <v>721</v>
      </c>
    </row>
    <row r="7" spans="1:12" ht="120" customHeight="1" x14ac:dyDescent="0.3">
      <c r="A7" s="338">
        <v>1</v>
      </c>
      <c r="B7" s="309">
        <v>44714</v>
      </c>
      <c r="C7" s="309" t="s">
        <v>586</v>
      </c>
      <c r="D7" s="310" t="s">
        <v>748</v>
      </c>
      <c r="E7" s="311">
        <v>10000</v>
      </c>
      <c r="F7" s="312" t="s">
        <v>268</v>
      </c>
      <c r="G7" s="310" t="s">
        <v>726</v>
      </c>
      <c r="H7" s="313" t="s">
        <v>335</v>
      </c>
      <c r="I7" s="310" t="s">
        <v>746</v>
      </c>
      <c r="J7" s="310" t="s">
        <v>750</v>
      </c>
      <c r="K7" s="310"/>
    </row>
    <row r="8" spans="1:12" ht="120" customHeight="1" x14ac:dyDescent="0.3">
      <c r="A8" s="338">
        <v>1</v>
      </c>
      <c r="B8" s="309">
        <v>44716</v>
      </c>
      <c r="C8" s="309" t="s">
        <v>586</v>
      </c>
      <c r="D8" s="310" t="s">
        <v>749</v>
      </c>
      <c r="E8" s="311">
        <v>1500</v>
      </c>
      <c r="F8" s="312" t="s">
        <v>272</v>
      </c>
      <c r="G8" s="310" t="s">
        <v>727</v>
      </c>
      <c r="H8" s="313" t="s">
        <v>335</v>
      </c>
      <c r="I8" s="310" t="s">
        <v>747</v>
      </c>
      <c r="J8" s="310" t="s">
        <v>751</v>
      </c>
      <c r="K8" s="358"/>
    </row>
  </sheetData>
  <mergeCells count="3">
    <mergeCell ref="G3:G4"/>
    <mergeCell ref="H3:H4"/>
    <mergeCell ref="C3:D3"/>
  </mergeCells>
  <phoneticPr fontId="22"/>
  <conditionalFormatting sqref="B7:J40">
    <cfRule type="expression" dxfId="20" priority="1">
      <formula>$C7="●"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13" r:id="rId4" name="Button 9">
              <controlPr defaultSize="0" print="0" autoFill="0" autoPict="0" macro="[0]!シート書き出し">
                <anchor moveWithCells="1" sizeWithCells="1">
                  <from>
                    <xdr:col>1</xdr:col>
                    <xdr:colOff>7620</xdr:colOff>
                    <xdr:row>2</xdr:row>
                    <xdr:rowOff>15240</xdr:rowOff>
                  </from>
                  <to>
                    <xdr:col>1</xdr:col>
                    <xdr:colOff>883920</xdr:colOff>
                    <xdr:row>3</xdr:row>
                    <xdr:rowOff>251460</xdr:rowOff>
                  </to>
                </anchor>
              </controlPr>
            </control>
          </mc:Choice>
        </mc:AlternateContent>
        <mc:AlternateContent xmlns:mc="http://schemas.openxmlformats.org/markup-compatibility/2006">
          <mc:Choice Requires="x14">
            <control shapeId="72714" r:id="rId5" name="Button 10">
              <controlPr defaultSize="0" print="0" autoFill="0" autoPict="0" macro="[0]!経理提出用へ転記">
                <anchor moveWithCells="1" sizeWithCells="1">
                  <from>
                    <xdr:col>1</xdr:col>
                    <xdr:colOff>15240</xdr:colOff>
                    <xdr:row>1</xdr:row>
                    <xdr:rowOff>22860</xdr:rowOff>
                  </from>
                  <to>
                    <xdr:col>1</xdr:col>
                    <xdr:colOff>899160</xdr:colOff>
                    <xdr:row>1</xdr:row>
                    <xdr:rowOff>518160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B5CBF-C4B9-4557-871E-F5EE1FBCAB20}">
  <sheetPr codeName="Sheet13">
    <pageSetUpPr fitToPage="1"/>
  </sheetPr>
  <dimension ref="A1:BN8"/>
  <sheetViews>
    <sheetView zoomScale="70" zoomScaleNormal="70" workbookViewId="0">
      <pane xSplit="5" ySplit="5" topLeftCell="M6" activePane="bottomRight" state="frozen"/>
      <selection activeCell="B40" sqref="B40"/>
      <selection pane="topRight" activeCell="B40" sqref="B40"/>
      <selection pane="bottomLeft" activeCell="B40" sqref="B40"/>
      <selection pane="bottomRight" activeCell="W11" sqref="W11"/>
    </sheetView>
  </sheetViews>
  <sheetFormatPr defaultColWidth="8.81640625" defaultRowHeight="30" customHeight="1" x14ac:dyDescent="0.3"/>
  <cols>
    <col min="1" max="1" width="3.453125" style="381" customWidth="1"/>
    <col min="2" max="2" width="10.6328125" style="365" customWidth="1"/>
    <col min="3" max="3" width="30.6328125" style="365" customWidth="1"/>
    <col min="4" max="4" width="12.6328125" style="365" customWidth="1"/>
    <col min="5" max="5" width="12.6328125" style="378" customWidth="1"/>
    <col min="6" max="6" width="12.6328125" style="369" customWidth="1"/>
    <col min="7" max="7" width="10.1796875" style="369" bestFit="1" customWidth="1"/>
    <col min="8" max="8" width="8.08984375" style="369" bestFit="1" customWidth="1"/>
    <col min="9" max="9" width="10.1796875" style="367" bestFit="1" customWidth="1"/>
    <col min="10" max="10" width="10.1796875" style="370" bestFit="1" customWidth="1"/>
    <col min="11" max="11" width="10.1796875" style="378" bestFit="1" customWidth="1"/>
    <col min="12" max="12" width="10.1796875" style="371" bestFit="1" customWidth="1"/>
    <col min="13" max="14" width="10.1796875" style="68" bestFit="1" customWidth="1"/>
    <col min="15" max="17" width="11" style="369" bestFit="1" customWidth="1"/>
    <col min="18" max="19" width="11" style="372" bestFit="1" customWidth="1"/>
    <col min="20" max="22" width="11" style="409" bestFit="1" customWidth="1"/>
    <col min="23" max="24" width="11" style="68" bestFit="1" customWidth="1"/>
    <col min="25" max="25" width="15.6328125" style="68" bestFit="1" customWidth="1"/>
    <col min="26" max="28" width="11" style="369" bestFit="1" customWidth="1"/>
    <col min="29" max="32" width="11" style="68" bestFit="1" customWidth="1"/>
    <col min="33" max="33" width="11" style="369" bestFit="1" customWidth="1"/>
    <col min="34" max="35" width="11" style="68" bestFit="1" customWidth="1"/>
    <col min="36" max="36" width="11" style="369" bestFit="1" customWidth="1"/>
    <col min="37" max="37" width="11" style="68" bestFit="1" customWidth="1"/>
    <col min="38" max="40" width="11" style="369" bestFit="1" customWidth="1"/>
    <col min="41" max="41" width="15.6328125" style="68" bestFit="1" customWidth="1"/>
    <col min="42" max="42" width="18.6328125" style="409" customWidth="1"/>
    <col min="43" max="44" width="10.6328125" style="369" customWidth="1"/>
    <col min="45" max="45" width="43.81640625" style="369" customWidth="1"/>
    <col min="46" max="46" width="18.90625" style="369" customWidth="1"/>
    <col min="47" max="52" width="12.6328125" style="68" customWidth="1"/>
    <col min="53" max="53" width="12.6328125" style="373" customWidth="1"/>
    <col min="54" max="54" width="12.6328125" style="374" customWidth="1"/>
    <col min="55" max="55" width="12.6328125" style="68" customWidth="1"/>
    <col min="56" max="58" width="12.6328125" style="369" customWidth="1"/>
    <col min="59" max="59" width="12.6328125" style="367" customWidth="1"/>
    <col min="60" max="65" width="12.81640625" style="369" customWidth="1"/>
    <col min="66" max="16384" width="8.81640625" style="365"/>
  </cols>
  <sheetData>
    <row r="1" spans="1:66" ht="30" customHeight="1" x14ac:dyDescent="0.3">
      <c r="A1" s="68"/>
      <c r="D1" s="366" t="s">
        <v>444</v>
      </c>
      <c r="E1" s="367"/>
      <c r="F1" s="368" t="s">
        <v>659</v>
      </c>
      <c r="K1" s="68"/>
      <c r="T1" s="367"/>
      <c r="U1" s="367"/>
      <c r="V1" s="367"/>
      <c r="AB1" s="68"/>
      <c r="AM1" s="68"/>
      <c r="AN1" s="68"/>
      <c r="AP1" s="367"/>
      <c r="AQ1" s="68"/>
      <c r="AR1" s="68"/>
      <c r="AS1" s="68"/>
      <c r="AT1" s="68"/>
    </row>
    <row r="2" spans="1:66" ht="25.95" customHeight="1" x14ac:dyDescent="0.3">
      <c r="A2" s="375"/>
      <c r="B2" s="376" t="s">
        <v>360</v>
      </c>
      <c r="C2" s="377"/>
      <c r="G2" s="379"/>
      <c r="K2" s="68"/>
      <c r="T2" s="372"/>
      <c r="U2" s="372"/>
      <c r="V2" s="372"/>
      <c r="Z2" s="380"/>
      <c r="AA2" s="380"/>
      <c r="AB2" s="381"/>
      <c r="AI2" s="381"/>
      <c r="AJ2" s="380"/>
      <c r="AK2" s="381"/>
      <c r="AL2" s="380"/>
      <c r="AM2" s="381"/>
      <c r="AN2" s="381"/>
      <c r="AO2" s="381"/>
      <c r="AP2" s="372"/>
      <c r="AQ2" s="381"/>
      <c r="AR2" s="381"/>
      <c r="AS2" s="381"/>
      <c r="AT2" s="381"/>
      <c r="BG2" s="382"/>
    </row>
    <row r="3" spans="1:66" s="68" customFormat="1" ht="16.2" customHeight="1" x14ac:dyDescent="0.3">
      <c r="F3" s="369"/>
      <c r="G3" s="369"/>
      <c r="H3" s="369"/>
      <c r="I3" s="369"/>
      <c r="J3" s="370"/>
      <c r="L3" s="371"/>
      <c r="M3" s="413" t="s">
        <v>694</v>
      </c>
      <c r="R3" s="372"/>
      <c r="S3" s="372"/>
      <c r="T3" s="369"/>
      <c r="U3" s="369"/>
      <c r="V3" s="369"/>
      <c r="Z3" s="369"/>
      <c r="AA3" s="369"/>
      <c r="AJ3" s="369"/>
      <c r="AL3" s="369"/>
      <c r="AP3" s="369"/>
      <c r="BA3" s="373"/>
      <c r="BB3" s="374"/>
      <c r="BD3" s="369"/>
      <c r="BE3" s="369"/>
      <c r="BF3" s="369"/>
      <c r="BG3" s="367"/>
      <c r="BH3" s="369"/>
      <c r="BI3" s="369"/>
      <c r="BJ3" s="369"/>
      <c r="BK3" s="369"/>
      <c r="BL3" s="369"/>
      <c r="BM3" s="369"/>
    </row>
    <row r="4" spans="1:66" s="68" customFormat="1" ht="16.2" customHeight="1" x14ac:dyDescent="0.3">
      <c r="B4" s="383" t="s">
        <v>514</v>
      </c>
      <c r="C4" s="383">
        <f>SUBTOTAL(2,B:B)</f>
        <v>3</v>
      </c>
      <c r="D4" s="384"/>
      <c r="E4" s="385" t="s">
        <v>448</v>
      </c>
      <c r="F4" s="386"/>
      <c r="G4" s="386"/>
      <c r="H4" s="386"/>
      <c r="I4" s="386"/>
      <c r="J4" s="387"/>
      <c r="K4" s="388"/>
      <c r="L4" s="389"/>
      <c r="M4" s="410"/>
      <c r="N4" s="410"/>
      <c r="O4" s="410"/>
      <c r="P4" s="410"/>
      <c r="Q4" s="410"/>
      <c r="R4" s="411"/>
      <c r="S4" s="411"/>
      <c r="T4" s="412"/>
      <c r="U4" s="386"/>
      <c r="V4" s="386"/>
      <c r="W4" s="410"/>
      <c r="X4" s="390"/>
      <c r="Y4" s="390"/>
      <c r="Z4" s="412"/>
      <c r="AA4" s="412"/>
      <c r="AB4" s="410"/>
      <c r="AC4" s="390"/>
      <c r="AD4" s="410"/>
      <c r="AE4" s="410"/>
      <c r="AF4" s="410"/>
      <c r="AG4" s="410"/>
      <c r="AH4" s="390"/>
      <c r="AI4" s="390"/>
      <c r="AJ4" s="386"/>
      <c r="AK4" s="390"/>
      <c r="AL4" s="386"/>
      <c r="AM4" s="391"/>
      <c r="AN4" s="392"/>
      <c r="AO4" s="392"/>
      <c r="AP4" s="386"/>
      <c r="AQ4" s="392"/>
      <c r="AR4" s="392"/>
      <c r="AS4" s="392"/>
      <c r="AT4" s="392"/>
      <c r="AU4" s="390"/>
      <c r="AV4" s="390"/>
      <c r="AW4" s="390"/>
      <c r="AX4" s="390"/>
      <c r="AY4" s="390"/>
      <c r="AZ4" s="390"/>
      <c r="BA4" s="393"/>
      <c r="BB4" s="394"/>
      <c r="BC4" s="390"/>
      <c r="BD4" s="386"/>
      <c r="BE4" s="386"/>
      <c r="BF4" s="386"/>
      <c r="BG4" s="395"/>
      <c r="BH4" s="386"/>
      <c r="BI4" s="386"/>
      <c r="BJ4" s="386"/>
      <c r="BK4" s="386"/>
      <c r="BL4" s="386"/>
      <c r="BM4" s="386"/>
      <c r="BN4" s="390"/>
    </row>
    <row r="5" spans="1:66" s="68" customFormat="1" ht="25.2" x14ac:dyDescent="0.3">
      <c r="B5" s="272" t="s">
        <v>361</v>
      </c>
      <c r="C5" s="272" t="s">
        <v>170</v>
      </c>
      <c r="D5" s="272" t="s">
        <v>340</v>
      </c>
      <c r="E5" s="273" t="s">
        <v>449</v>
      </c>
      <c r="F5" s="69" t="s">
        <v>134</v>
      </c>
      <c r="G5" s="69" t="s">
        <v>146</v>
      </c>
      <c r="H5" s="69" t="s">
        <v>136</v>
      </c>
      <c r="I5" s="70" t="s">
        <v>252</v>
      </c>
      <c r="J5" s="288" t="s">
        <v>350</v>
      </c>
      <c r="K5" s="71" t="s">
        <v>142</v>
      </c>
      <c r="L5" s="79" t="s">
        <v>141</v>
      </c>
      <c r="M5" s="69" t="s">
        <v>171</v>
      </c>
      <c r="N5" s="69" t="s">
        <v>172</v>
      </c>
      <c r="O5" s="69" t="s">
        <v>173</v>
      </c>
      <c r="P5" s="69" t="s">
        <v>542</v>
      </c>
      <c r="Q5" s="69" t="s">
        <v>174</v>
      </c>
      <c r="R5" s="226" t="s">
        <v>341</v>
      </c>
      <c r="S5" s="226" t="s">
        <v>344</v>
      </c>
      <c r="T5" s="70" t="s">
        <v>346</v>
      </c>
      <c r="U5" s="70" t="s">
        <v>347</v>
      </c>
      <c r="V5" s="70" t="s">
        <v>348</v>
      </c>
      <c r="W5" s="69" t="s">
        <v>175</v>
      </c>
      <c r="X5" s="69" t="s">
        <v>693</v>
      </c>
      <c r="Y5" s="69" t="s">
        <v>669</v>
      </c>
      <c r="Z5" s="69" t="s">
        <v>548</v>
      </c>
      <c r="AA5" s="69" t="s">
        <v>176</v>
      </c>
      <c r="AB5" s="69" t="s">
        <v>668</v>
      </c>
      <c r="AC5" s="69" t="s">
        <v>98</v>
      </c>
      <c r="AD5" s="69" t="s">
        <v>99</v>
      </c>
      <c r="AE5" s="69" t="s">
        <v>342</v>
      </c>
      <c r="AF5" s="69" t="s">
        <v>343</v>
      </c>
      <c r="AG5" s="69" t="s">
        <v>94</v>
      </c>
      <c r="AH5" s="69" t="s">
        <v>515</v>
      </c>
      <c r="AI5" s="69" t="s">
        <v>507</v>
      </c>
      <c r="AJ5" s="69" t="s">
        <v>499</v>
      </c>
      <c r="AK5" s="69" t="s">
        <v>500</v>
      </c>
      <c r="AL5" s="69" t="s">
        <v>547</v>
      </c>
      <c r="AM5" s="69" t="s">
        <v>345</v>
      </c>
      <c r="AN5" s="69" t="s">
        <v>543</v>
      </c>
      <c r="AO5" s="69" t="s">
        <v>663</v>
      </c>
      <c r="AP5" s="246" t="s">
        <v>681</v>
      </c>
      <c r="AQ5" s="80" t="s">
        <v>544</v>
      </c>
      <c r="AR5" s="80" t="s">
        <v>545</v>
      </c>
      <c r="AS5" s="247" t="s">
        <v>583</v>
      </c>
      <c r="AT5" s="247" t="s">
        <v>567</v>
      </c>
      <c r="AU5" s="247" t="s">
        <v>566</v>
      </c>
      <c r="AV5" s="80" t="s">
        <v>3</v>
      </c>
      <c r="AW5" s="80" t="s">
        <v>551</v>
      </c>
      <c r="AX5" s="80" t="s">
        <v>552</v>
      </c>
      <c r="AY5" s="80" t="s">
        <v>553</v>
      </c>
      <c r="AZ5" s="80" t="s">
        <v>554</v>
      </c>
      <c r="BA5" s="196" t="s">
        <v>555</v>
      </c>
      <c r="BB5" s="100" t="s">
        <v>671</v>
      </c>
      <c r="BC5" s="247" t="s">
        <v>676</v>
      </c>
      <c r="BD5" s="247" t="s">
        <v>679</v>
      </c>
      <c r="BE5" s="247" t="s">
        <v>680</v>
      </c>
      <c r="BF5" s="342" t="s">
        <v>356</v>
      </c>
      <c r="BG5" s="246" t="s">
        <v>688</v>
      </c>
      <c r="BH5" s="343" t="s">
        <v>351</v>
      </c>
      <c r="BI5" s="343" t="s">
        <v>352</v>
      </c>
      <c r="BJ5" s="343" t="s">
        <v>353</v>
      </c>
      <c r="BK5" s="343" t="s">
        <v>549</v>
      </c>
      <c r="BL5" s="343" t="s">
        <v>354</v>
      </c>
      <c r="BM5" s="343" t="s">
        <v>355</v>
      </c>
    </row>
    <row r="6" spans="1:66" ht="30" customHeight="1" x14ac:dyDescent="0.3">
      <c r="A6" s="68"/>
      <c r="B6" s="396">
        <v>20200001</v>
      </c>
      <c r="C6" s="396" t="s">
        <v>734</v>
      </c>
      <c r="D6" s="396" t="s">
        <v>754</v>
      </c>
      <c r="E6" s="397">
        <v>44714</v>
      </c>
      <c r="F6" s="398"/>
      <c r="G6" s="399" t="s">
        <v>116</v>
      </c>
      <c r="H6" s="400" t="s">
        <v>431</v>
      </c>
      <c r="I6" s="401" t="s">
        <v>733</v>
      </c>
      <c r="J6" s="402"/>
      <c r="K6" s="397">
        <v>44714</v>
      </c>
      <c r="L6" s="403">
        <v>43617</v>
      </c>
      <c r="M6" s="404" t="s">
        <v>729</v>
      </c>
      <c r="N6" s="404" t="s">
        <v>730</v>
      </c>
      <c r="O6" s="398" t="s">
        <v>735</v>
      </c>
      <c r="P6" s="398"/>
      <c r="Q6" s="398" t="s">
        <v>732</v>
      </c>
      <c r="R6" s="405">
        <v>10000</v>
      </c>
      <c r="S6" s="405">
        <v>10000</v>
      </c>
      <c r="T6" s="406" t="s">
        <v>335</v>
      </c>
      <c r="U6" s="406"/>
      <c r="V6" s="406"/>
      <c r="W6" s="404"/>
      <c r="X6" s="404"/>
      <c r="Y6" s="404" t="s">
        <v>756</v>
      </c>
      <c r="Z6" s="398"/>
      <c r="AA6" s="398"/>
      <c r="AB6" s="398"/>
      <c r="AC6" s="404"/>
      <c r="AD6" s="404"/>
      <c r="AE6" s="404"/>
      <c r="AF6" s="404"/>
      <c r="AG6" s="398"/>
      <c r="AH6" s="404" t="s">
        <v>752</v>
      </c>
      <c r="AI6" s="404" t="s">
        <v>752</v>
      </c>
      <c r="AJ6" s="398"/>
      <c r="AK6" s="404"/>
      <c r="AL6" s="398"/>
      <c r="AM6" s="398"/>
      <c r="AN6" s="398"/>
      <c r="AO6" s="404"/>
      <c r="AP6" s="406"/>
      <c r="AQ6" s="398"/>
      <c r="AR6" s="398"/>
      <c r="AS6" s="398"/>
      <c r="AT6" s="398"/>
      <c r="AU6" s="404"/>
      <c r="AV6" s="404"/>
      <c r="AW6" s="404">
        <v>1</v>
      </c>
      <c r="AX6" s="404">
        <v>1</v>
      </c>
      <c r="AY6" s="404">
        <v>1</v>
      </c>
      <c r="AZ6" s="404">
        <v>0</v>
      </c>
      <c r="BA6" s="407">
        <v>0</v>
      </c>
      <c r="BB6" s="408"/>
      <c r="BC6" s="404"/>
      <c r="BD6" s="398"/>
      <c r="BE6" s="398"/>
      <c r="BF6" s="398"/>
      <c r="BG6" s="401"/>
      <c r="BH6" s="398"/>
      <c r="BI6" s="398"/>
      <c r="BJ6" s="398"/>
      <c r="BK6" s="398"/>
      <c r="BL6" s="398"/>
      <c r="BM6" s="398"/>
    </row>
    <row r="7" spans="1:66" ht="30" customHeight="1" x14ac:dyDescent="0.3">
      <c r="A7" s="68"/>
      <c r="B7" s="396">
        <v>20200002</v>
      </c>
      <c r="C7" s="396" t="s">
        <v>725</v>
      </c>
      <c r="D7" s="396" t="s">
        <v>753</v>
      </c>
      <c r="E7" s="397">
        <v>44715</v>
      </c>
      <c r="F7" s="398"/>
      <c r="G7" s="399" t="s">
        <v>116</v>
      </c>
      <c r="H7" s="400" t="s">
        <v>442</v>
      </c>
      <c r="I7" s="401" t="s">
        <v>739</v>
      </c>
      <c r="J7" s="402"/>
      <c r="K7" s="397">
        <v>44715</v>
      </c>
      <c r="L7" s="403"/>
      <c r="M7" s="404" t="s">
        <v>730</v>
      </c>
      <c r="N7" s="404" t="s">
        <v>740</v>
      </c>
      <c r="O7" s="398" t="s">
        <v>741</v>
      </c>
      <c r="P7" s="398"/>
      <c r="Q7" s="398" t="s">
        <v>742</v>
      </c>
      <c r="R7" s="405">
        <v>20000</v>
      </c>
      <c r="S7" s="405">
        <v>0</v>
      </c>
      <c r="T7" s="406" t="s">
        <v>728</v>
      </c>
      <c r="U7" s="406"/>
      <c r="V7" s="406"/>
      <c r="W7" s="404"/>
      <c r="X7" s="404"/>
      <c r="Y7" s="404" t="s">
        <v>756</v>
      </c>
      <c r="Z7" s="398"/>
      <c r="AA7" s="398"/>
      <c r="AB7" s="398"/>
      <c r="AC7" s="404"/>
      <c r="AD7" s="404"/>
      <c r="AE7" s="404"/>
      <c r="AF7" s="404"/>
      <c r="AG7" s="398"/>
      <c r="AH7" s="404" t="s">
        <v>752</v>
      </c>
      <c r="AI7" s="404" t="s">
        <v>752</v>
      </c>
      <c r="AJ7" s="398"/>
      <c r="AK7" s="404"/>
      <c r="AL7" s="398"/>
      <c r="AM7" s="398"/>
      <c r="AN7" s="398"/>
      <c r="AO7" s="404"/>
      <c r="AP7" s="406"/>
      <c r="AQ7" s="398"/>
      <c r="AR7" s="398"/>
      <c r="AS7" s="398"/>
      <c r="AT7" s="398"/>
      <c r="AU7" s="404"/>
      <c r="AV7" s="404"/>
      <c r="AW7" s="404">
        <v>1</v>
      </c>
      <c r="AX7" s="404">
        <v>1</v>
      </c>
      <c r="AY7" s="404">
        <v>1</v>
      </c>
      <c r="AZ7" s="404">
        <v>0</v>
      </c>
      <c r="BA7" s="407">
        <v>0</v>
      </c>
      <c r="BB7" s="408"/>
      <c r="BC7" s="404"/>
      <c r="BD7" s="398"/>
      <c r="BE7" s="398"/>
      <c r="BF7" s="398"/>
      <c r="BG7" s="401"/>
      <c r="BH7" s="398"/>
      <c r="BI7" s="398"/>
      <c r="BJ7" s="398"/>
      <c r="BK7" s="398"/>
      <c r="BL7" s="398"/>
      <c r="BM7" s="398"/>
    </row>
    <row r="8" spans="1:66" ht="30" customHeight="1" x14ac:dyDescent="0.3">
      <c r="A8" s="68"/>
      <c r="B8" s="396">
        <v>20200003</v>
      </c>
      <c r="C8" s="396" t="s">
        <v>744</v>
      </c>
      <c r="D8" s="396" t="s">
        <v>755</v>
      </c>
      <c r="E8" s="397">
        <v>44716</v>
      </c>
      <c r="F8" s="398"/>
      <c r="G8" s="399" t="s">
        <v>116</v>
      </c>
      <c r="H8" s="400" t="s">
        <v>431</v>
      </c>
      <c r="I8" s="401" t="s">
        <v>739</v>
      </c>
      <c r="J8" s="402"/>
      <c r="K8" s="397">
        <v>44716</v>
      </c>
      <c r="L8" s="403">
        <v>43617</v>
      </c>
      <c r="M8" s="404" t="s">
        <v>729</v>
      </c>
      <c r="N8" s="404" t="s">
        <v>730</v>
      </c>
      <c r="O8" s="398" t="s">
        <v>745</v>
      </c>
      <c r="P8" s="398"/>
      <c r="Q8" s="398" t="s">
        <v>743</v>
      </c>
      <c r="R8" s="405">
        <v>1500</v>
      </c>
      <c r="S8" s="405">
        <v>1500</v>
      </c>
      <c r="T8" s="406" t="s">
        <v>335</v>
      </c>
      <c r="U8" s="406"/>
      <c r="V8" s="406"/>
      <c r="W8" s="404"/>
      <c r="X8" s="404"/>
      <c r="Y8" s="404" t="s">
        <v>756</v>
      </c>
      <c r="Z8" s="398"/>
      <c r="AA8" s="398"/>
      <c r="AB8" s="398"/>
      <c r="AC8" s="404"/>
      <c r="AD8" s="404"/>
      <c r="AE8" s="404"/>
      <c r="AF8" s="404"/>
      <c r="AG8" s="398"/>
      <c r="AH8" s="404" t="s">
        <v>752</v>
      </c>
      <c r="AI8" s="404" t="s">
        <v>752</v>
      </c>
      <c r="AJ8" s="398"/>
      <c r="AK8" s="404"/>
      <c r="AL8" s="398"/>
      <c r="AM8" s="398"/>
      <c r="AN8" s="398"/>
      <c r="AO8" s="404"/>
      <c r="AP8" s="406"/>
      <c r="AQ8" s="398"/>
      <c r="AR8" s="398"/>
      <c r="AS8" s="398"/>
      <c r="AT8" s="398"/>
      <c r="AU8" s="404"/>
      <c r="AV8" s="404"/>
      <c r="AW8" s="404">
        <v>1</v>
      </c>
      <c r="AX8" s="404">
        <v>1</v>
      </c>
      <c r="AY8" s="404">
        <v>1</v>
      </c>
      <c r="AZ8" s="404">
        <v>0</v>
      </c>
      <c r="BA8" s="407">
        <v>0</v>
      </c>
      <c r="BB8" s="408"/>
      <c r="BC8" s="404"/>
      <c r="BD8" s="398"/>
      <c r="BE8" s="398"/>
      <c r="BF8" s="398"/>
      <c r="BG8" s="401"/>
      <c r="BH8" s="398"/>
      <c r="BI8" s="398"/>
      <c r="BJ8" s="398"/>
      <c r="BK8" s="398"/>
      <c r="BL8" s="398"/>
      <c r="BM8" s="398"/>
    </row>
  </sheetData>
  <autoFilter ref="B5:BM8" xr:uid="{00000000-0009-0000-0000-000001000000}"/>
  <dataConsolidate link="1"/>
  <phoneticPr fontId="22"/>
  <conditionalFormatting sqref="I1:J8">
    <cfRule type="cellIs" dxfId="19" priority="12" operator="equal">
      <formula>"追跡中"</formula>
    </cfRule>
  </conditionalFormatting>
  <conditionalFormatting sqref="AV5">
    <cfRule type="cellIs" dxfId="18" priority="10" operator="equal">
      <formula>"不十分"</formula>
    </cfRule>
  </conditionalFormatting>
  <conditionalFormatting sqref="E1">
    <cfRule type="cellIs" dxfId="17" priority="5" operator="equal">
      <formula>"追跡中"</formula>
    </cfRule>
  </conditionalFormatting>
  <pageMargins left="0.7" right="0.7" top="0.75" bottom="0.75" header="0.3" footer="0.3"/>
  <pageSetup paperSize="9" scale="1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集積用シート_フィルタクリア">
                <anchor moveWithCells="1">
                  <from>
                    <xdr:col>5</xdr:col>
                    <xdr:colOff>7620</xdr:colOff>
                    <xdr:row>1</xdr:row>
                    <xdr:rowOff>22860</xdr:rowOff>
                  </from>
                  <to>
                    <xdr:col>5</xdr:col>
                    <xdr:colOff>1051560</xdr:colOff>
                    <xdr:row>1</xdr:row>
                    <xdr:rowOff>327660</xdr:rowOff>
                  </to>
                </anchor>
              </controlPr>
            </control>
          </mc:Choice>
        </mc:AlternateContent>
        <mc:AlternateContent xmlns:mc="http://schemas.openxmlformats.org/markup-compatibility/2006">
          <mc:Choice Requires="x14">
            <control shapeId="53250" r:id="rId5" name="Button 2">
              <controlPr defaultSize="0" print="0" autoFill="0" autoPict="0" macro="[0]!集積用シート_書式罫線">
                <anchor moveWithCells="1">
                  <from>
                    <xdr:col>4</xdr:col>
                    <xdr:colOff>7620</xdr:colOff>
                    <xdr:row>1</xdr:row>
                    <xdr:rowOff>22860</xdr:rowOff>
                  </from>
                  <to>
                    <xdr:col>4</xdr:col>
                    <xdr:colOff>1051560</xdr:colOff>
                    <xdr:row>2</xdr:row>
                    <xdr:rowOff>0</xdr:rowOff>
                  </to>
                </anchor>
              </controlPr>
            </control>
          </mc:Choice>
        </mc:AlternateContent>
        <mc:AlternateContent xmlns:mc="http://schemas.openxmlformats.org/markup-compatibility/2006">
          <mc:Choice Requires="x14">
            <control shapeId="53252" r:id="rId6" name="Button 4">
              <controlPr defaultSize="0" print="0" autoFill="0" autoPict="0" macro="[0]!CSVから集積シートへ">
                <anchor moveWithCells="1">
                  <from>
                    <xdr:col>3</xdr:col>
                    <xdr:colOff>7620</xdr:colOff>
                    <xdr:row>1</xdr:row>
                    <xdr:rowOff>22860</xdr:rowOff>
                  </from>
                  <to>
                    <xdr:col>4</xdr:col>
                    <xdr:colOff>7620</xdr:colOff>
                    <xdr:row>1</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083D3B0-35DF-4851-9D8D-0005B983AC61}">
          <x14:formula1>
            <xm:f>'C:\Users\11201062\2020リスク管理報告\202012リスク管理報告\[【転記CSV対応】リスク管理報告書1102.xlsm]リスト'!#REF!</xm:f>
          </x14:formula1>
          <xm:sqref>BD6:BF8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7B39D-BA60-4F0B-BE7E-59DF1DE093E8}">
  <sheetPr codeName="Sheet1">
    <pageSetUpPr fitToPage="1"/>
  </sheetPr>
  <dimension ref="A1:S43"/>
  <sheetViews>
    <sheetView zoomScale="55" zoomScaleNormal="55" workbookViewId="0">
      <pane ySplit="6" topLeftCell="A7" activePane="bottomLeft" state="frozen"/>
      <selection activeCell="B40" sqref="B40"/>
      <selection pane="bottomLeft" activeCell="I14" sqref="I14"/>
    </sheetView>
  </sheetViews>
  <sheetFormatPr defaultColWidth="8.81640625" defaultRowHeight="16.2" x14ac:dyDescent="0.3"/>
  <cols>
    <col min="1" max="1" width="5" style="53" customWidth="1"/>
    <col min="2" max="2" width="0.453125" style="60" customWidth="1"/>
    <col min="3" max="6" width="20.81640625" style="54" customWidth="1"/>
    <col min="7" max="7" width="10.81640625" style="60" customWidth="1"/>
    <col min="8" max="8" width="12.81640625" style="60" customWidth="1"/>
    <col min="9" max="9" width="15.6328125" style="60" customWidth="1"/>
    <col min="10" max="13" width="8.81640625" style="60" customWidth="1"/>
    <col min="14" max="16" width="8.6328125" style="60" customWidth="1"/>
    <col min="17" max="19" width="8.81640625" style="60"/>
    <col min="20" max="21" width="7.1796875" style="60" bestFit="1" customWidth="1"/>
    <col min="22" max="16384" width="8.81640625" style="60"/>
  </cols>
  <sheetData>
    <row r="1" spans="1:19" ht="25.95" customHeight="1" x14ac:dyDescent="0.3">
      <c r="B1" s="61"/>
      <c r="C1" s="494"/>
      <c r="D1" s="495"/>
      <c r="E1" s="495"/>
      <c r="F1" s="496"/>
      <c r="G1" s="348" t="s">
        <v>659</v>
      </c>
      <c r="N1" s="474" t="s">
        <v>577</v>
      </c>
      <c r="O1" s="474"/>
      <c r="R1" s="347"/>
      <c r="S1" s="347"/>
    </row>
    <row r="2" spans="1:19" ht="25.95" customHeight="1" x14ac:dyDescent="0.45">
      <c r="B2" s="61"/>
      <c r="C2" s="475" t="s">
        <v>360</v>
      </c>
      <c r="D2" s="476"/>
      <c r="E2" s="356"/>
      <c r="F2" s="364"/>
      <c r="I2" s="121">
        <v>20200002</v>
      </c>
      <c r="N2" s="473" t="s">
        <v>237</v>
      </c>
      <c r="O2" s="473"/>
    </row>
    <row r="3" spans="1:19" ht="25.95" customHeight="1" x14ac:dyDescent="0.3">
      <c r="B3" s="61"/>
      <c r="C3" s="184" t="s">
        <v>359</v>
      </c>
      <c r="D3" s="185"/>
      <c r="E3" s="93" t="s">
        <v>116</v>
      </c>
      <c r="F3" s="357" t="s">
        <v>117</v>
      </c>
      <c r="I3" s="289"/>
      <c r="J3" s="101"/>
      <c r="N3" s="186">
        <v>44582</v>
      </c>
      <c r="O3" s="186">
        <v>44612</v>
      </c>
    </row>
    <row r="4" spans="1:19" ht="1.95" customHeight="1" thickBot="1" x14ac:dyDescent="0.35">
      <c r="B4" s="61"/>
      <c r="C4" s="46"/>
      <c r="D4" s="46"/>
      <c r="E4" s="47"/>
      <c r="F4" s="47"/>
    </row>
    <row r="5" spans="1:19" ht="39" customHeight="1" thickTop="1" thickBot="1" x14ac:dyDescent="0.35">
      <c r="B5" s="61"/>
      <c r="C5" s="199" t="s">
        <v>130</v>
      </c>
      <c r="D5" s="497" t="s">
        <v>736</v>
      </c>
      <c r="E5" s="498"/>
      <c r="F5" s="499"/>
      <c r="H5" s="323"/>
    </row>
    <row r="6" spans="1:19" ht="25.95" customHeight="1" thickTop="1" thickBot="1" x14ac:dyDescent="0.35">
      <c r="B6" s="61"/>
      <c r="C6" s="199" t="s">
        <v>252</v>
      </c>
      <c r="D6" s="241" t="s">
        <v>436</v>
      </c>
      <c r="E6" s="204" t="s">
        <v>358</v>
      </c>
      <c r="F6" s="241" t="s">
        <v>753</v>
      </c>
      <c r="H6" s="56"/>
      <c r="I6" s="58"/>
      <c r="J6" s="58"/>
    </row>
    <row r="7" spans="1:19" ht="25.95" customHeight="1" thickTop="1" thickBot="1" x14ac:dyDescent="0.35">
      <c r="B7" s="61"/>
      <c r="C7" s="199" t="s">
        <v>140</v>
      </c>
      <c r="D7" s="242">
        <v>44715</v>
      </c>
      <c r="E7" s="201" t="s">
        <v>141</v>
      </c>
      <c r="F7" s="243"/>
      <c r="K7" s="54"/>
    </row>
    <row r="8" spans="1:19" ht="25.95" hidden="1" customHeight="1" x14ac:dyDescent="0.3">
      <c r="B8" s="61"/>
      <c r="C8" s="55"/>
      <c r="D8" s="500" t="s">
        <v>546</v>
      </c>
      <c r="E8" s="501"/>
      <c r="F8" s="502"/>
    </row>
    <row r="9" spans="1:19" s="52" customFormat="1" ht="25.95" hidden="1" customHeight="1" x14ac:dyDescent="0.3">
      <c r="A9" s="53"/>
      <c r="B9" s="51"/>
      <c r="C9" s="55"/>
      <c r="D9" s="508"/>
      <c r="E9" s="501"/>
      <c r="F9" s="509"/>
    </row>
    <row r="10" spans="1:19" ht="25.95" customHeight="1" thickTop="1" thickBot="1" x14ac:dyDescent="0.35">
      <c r="B10" s="61"/>
      <c r="C10" s="199" t="s">
        <v>137</v>
      </c>
      <c r="D10" s="244" t="s">
        <v>731</v>
      </c>
      <c r="E10" s="203" t="s">
        <v>138</v>
      </c>
      <c r="F10" s="244" t="s">
        <v>737</v>
      </c>
      <c r="I10" s="349"/>
    </row>
    <row r="11" spans="1:19" ht="79.95" customHeight="1" thickTop="1" thickBot="1" x14ac:dyDescent="0.35">
      <c r="B11" s="61"/>
      <c r="C11" s="199" t="s">
        <v>139</v>
      </c>
      <c r="D11" s="483" t="s">
        <v>738</v>
      </c>
      <c r="E11" s="503"/>
      <c r="F11" s="484"/>
      <c r="I11" s="187"/>
      <c r="J11" s="187"/>
      <c r="K11" s="187"/>
      <c r="L11" s="188"/>
      <c r="M11" s="188"/>
      <c r="N11" s="189"/>
      <c r="O11" s="189"/>
      <c r="P11" s="62"/>
    </row>
    <row r="12" spans="1:19" ht="120" customHeight="1" thickTop="1" thickBot="1" x14ac:dyDescent="0.35">
      <c r="B12" s="61"/>
      <c r="C12" s="199" t="s">
        <v>537</v>
      </c>
      <c r="D12" s="483"/>
      <c r="E12" s="503"/>
      <c r="F12" s="484"/>
      <c r="I12" s="187"/>
      <c r="J12" s="187"/>
      <c r="K12" s="187"/>
      <c r="L12" s="188"/>
      <c r="M12" s="188"/>
      <c r="N12" s="189"/>
      <c r="O12" s="189"/>
      <c r="P12" s="62"/>
    </row>
    <row r="13" spans="1:19" ht="79.95" customHeight="1" thickTop="1" thickBot="1" x14ac:dyDescent="0.35">
      <c r="B13" s="61"/>
      <c r="C13" s="199" t="s">
        <v>133</v>
      </c>
      <c r="D13" s="504" t="s">
        <v>742</v>
      </c>
      <c r="E13" s="505"/>
      <c r="F13" s="506"/>
      <c r="H13" s="341"/>
      <c r="I13" s="187"/>
      <c r="J13" s="187"/>
      <c r="K13" s="187"/>
      <c r="L13" s="187"/>
      <c r="M13" s="188"/>
      <c r="N13" s="188"/>
      <c r="O13" s="188"/>
    </row>
    <row r="14" spans="1:19" ht="25.95" customHeight="1" thickTop="1" thickBot="1" x14ac:dyDescent="0.35">
      <c r="B14" s="61"/>
      <c r="C14" s="199" t="s">
        <v>327</v>
      </c>
      <c r="D14" s="245">
        <v>20000</v>
      </c>
      <c r="E14" s="205" t="s">
        <v>330</v>
      </c>
      <c r="F14" s="275" t="s">
        <v>730</v>
      </c>
      <c r="H14" s="62"/>
      <c r="I14" s="187"/>
      <c r="J14" s="187"/>
      <c r="K14" s="187"/>
      <c r="L14" s="187"/>
      <c r="M14" s="188"/>
      <c r="N14" s="189"/>
      <c r="O14" s="188"/>
    </row>
    <row r="15" spans="1:19" ht="25.95" customHeight="1" thickTop="1" thickBot="1" x14ac:dyDescent="0.35">
      <c r="B15" s="61"/>
      <c r="C15" s="200" t="s">
        <v>578</v>
      </c>
      <c r="D15" s="245">
        <v>0</v>
      </c>
      <c r="E15" s="202" t="s">
        <v>329</v>
      </c>
      <c r="F15" s="362"/>
      <c r="I15" s="187"/>
      <c r="J15" s="187"/>
      <c r="K15" s="187"/>
      <c r="L15" s="187"/>
      <c r="M15" s="188"/>
      <c r="N15" s="188"/>
      <c r="O15" s="188"/>
    </row>
    <row r="16" spans="1:19" ht="25.95" customHeight="1" thickTop="1" x14ac:dyDescent="0.3">
      <c r="B16" s="61"/>
      <c r="C16" s="55" t="s">
        <v>131</v>
      </c>
      <c r="D16" s="206"/>
      <c r="E16" s="55" t="s">
        <v>328</v>
      </c>
      <c r="F16" s="362"/>
      <c r="I16" s="187"/>
      <c r="J16" s="187"/>
      <c r="K16" s="187"/>
      <c r="L16" s="187"/>
      <c r="M16" s="188"/>
      <c r="N16" s="188"/>
      <c r="O16" s="188"/>
    </row>
    <row r="17" spans="2:15" ht="25.95" customHeight="1" x14ac:dyDescent="0.3">
      <c r="E17" s="60"/>
      <c r="F17" s="60"/>
      <c r="I17" s="187"/>
      <c r="J17" s="187"/>
      <c r="K17" s="187"/>
      <c r="L17" s="187"/>
      <c r="M17" s="188"/>
      <c r="N17" s="188"/>
      <c r="O17" s="188"/>
    </row>
    <row r="18" spans="2:15" ht="25.95" customHeight="1" x14ac:dyDescent="0.3">
      <c r="B18" s="61"/>
      <c r="C18" s="467" t="s">
        <v>692</v>
      </c>
      <c r="D18" s="510"/>
      <c r="E18" s="468"/>
      <c r="F18" s="321" t="s">
        <v>682</v>
      </c>
    </row>
    <row r="19" spans="2:15" ht="52.2" customHeight="1" x14ac:dyDescent="0.3">
      <c r="B19" s="61"/>
      <c r="C19" s="469"/>
      <c r="D19" s="511"/>
      <c r="E19" s="470"/>
      <c r="F19" s="361"/>
      <c r="L19" s="177"/>
    </row>
    <row r="20" spans="2:15" ht="25.95" customHeight="1" thickBot="1" x14ac:dyDescent="0.35">
      <c r="B20" s="61"/>
      <c r="C20" s="507" t="s">
        <v>584</v>
      </c>
      <c r="D20" s="507"/>
      <c r="E20" s="314" t="s">
        <v>662</v>
      </c>
      <c r="F20" s="49" t="s">
        <v>132</v>
      </c>
      <c r="L20" s="177"/>
    </row>
    <row r="21" spans="2:15" ht="109.95" customHeight="1" thickTop="1" thickBot="1" x14ac:dyDescent="0.35">
      <c r="B21" s="61"/>
      <c r="C21" s="483"/>
      <c r="D21" s="484"/>
      <c r="E21" s="322" t="s">
        <v>586</v>
      </c>
      <c r="F21" s="315"/>
      <c r="I21" s="62"/>
      <c r="L21" s="177"/>
    </row>
    <row r="22" spans="2:15" ht="25.95" customHeight="1" thickTop="1" x14ac:dyDescent="0.3">
      <c r="B22" s="61"/>
      <c r="C22" s="485" t="s">
        <v>446</v>
      </c>
      <c r="D22" s="491"/>
      <c r="E22" s="237" t="s">
        <v>539</v>
      </c>
      <c r="F22" s="238" t="s">
        <v>540</v>
      </c>
      <c r="I22" s="187"/>
      <c r="J22" s="187"/>
      <c r="K22" s="187"/>
      <c r="L22" s="187"/>
    </row>
    <row r="23" spans="2:15" ht="52.2" customHeight="1" thickBot="1" x14ac:dyDescent="0.35">
      <c r="B23" s="61"/>
      <c r="C23" s="462"/>
      <c r="D23" s="463"/>
      <c r="E23" s="240"/>
      <c r="F23" s="340"/>
    </row>
    <row r="24" spans="2:15" ht="25.95" customHeight="1" thickTop="1" x14ac:dyDescent="0.3">
      <c r="B24" s="61"/>
      <c r="C24" s="492" t="s">
        <v>583</v>
      </c>
      <c r="D24" s="493"/>
      <c r="E24" s="320" t="s">
        <v>539</v>
      </c>
      <c r="F24" s="239" t="s">
        <v>540</v>
      </c>
    </row>
    <row r="25" spans="2:15" ht="52.2" customHeight="1" thickBot="1" x14ac:dyDescent="0.35">
      <c r="B25" s="61"/>
      <c r="C25" s="462"/>
      <c r="D25" s="463"/>
      <c r="E25" s="240"/>
      <c r="F25" s="340"/>
    </row>
    <row r="26" spans="2:15" ht="25.95" customHeight="1" thickTop="1" x14ac:dyDescent="0.3">
      <c r="B26" s="61"/>
      <c r="C26" s="485" t="s">
        <v>357</v>
      </c>
      <c r="D26" s="486"/>
      <c r="E26" s="487"/>
      <c r="F26" s="319" t="s">
        <v>663</v>
      </c>
      <c r="H26" s="57"/>
    </row>
    <row r="27" spans="2:15" ht="70.2" customHeight="1" thickBot="1" x14ac:dyDescent="0.35">
      <c r="B27" s="61"/>
      <c r="C27" s="488"/>
      <c r="D27" s="489"/>
      <c r="E27" s="490"/>
      <c r="F27" s="324"/>
    </row>
    <row r="28" spans="2:15" ht="25.95" customHeight="1" thickTop="1" x14ac:dyDescent="0.3">
      <c r="L28" s="187"/>
      <c r="M28" s="188"/>
      <c r="N28" s="188"/>
      <c r="O28" s="188"/>
    </row>
    <row r="29" spans="2:15" ht="25.95" customHeight="1" x14ac:dyDescent="0.3">
      <c r="B29" s="61"/>
      <c r="C29" s="459" t="s">
        <v>123</v>
      </c>
      <c r="D29" s="460"/>
      <c r="E29" s="460"/>
      <c r="F29" s="461"/>
      <c r="I29" s="187"/>
      <c r="J29" s="187"/>
      <c r="K29" s="187"/>
      <c r="L29" s="187"/>
    </row>
    <row r="30" spans="2:15" ht="25.95" customHeight="1" x14ac:dyDescent="0.3">
      <c r="B30" s="61"/>
      <c r="C30" s="49" t="s">
        <v>98</v>
      </c>
      <c r="D30" s="49" t="s">
        <v>180</v>
      </c>
      <c r="E30" s="49" t="s">
        <v>181</v>
      </c>
      <c r="F30" s="49"/>
      <c r="H30" s="345" t="s">
        <v>564</v>
      </c>
      <c r="I30" s="479" t="s">
        <v>541</v>
      </c>
      <c r="J30" s="480"/>
      <c r="K30" s="480"/>
      <c r="L30" s="480"/>
      <c r="M30" s="481"/>
      <c r="N30" s="190" t="s">
        <v>524</v>
      </c>
      <c r="O30" s="190" t="s">
        <v>523</v>
      </c>
    </row>
    <row r="31" spans="2:15" ht="52.2" customHeight="1" x14ac:dyDescent="0.3">
      <c r="B31" s="61"/>
      <c r="C31" s="78"/>
      <c r="D31" s="118"/>
      <c r="E31" s="78"/>
      <c r="F31" s="360"/>
      <c r="H31" s="276">
        <v>20000</v>
      </c>
      <c r="I31" s="191">
        <f>IF(C31="",1,IF(C31="絆創膏程度けが",1,IF(C31="病院治療休業無し",2,IF(C31="通院必要休業3日以内",3,IF(C31="休業4日以上",4,IF(C31="重度障害死亡事故",5,0))))))</f>
        <v>1</v>
      </c>
      <c r="J31" s="191">
        <f>IF(D31="",1,IF(D31="0円～10万円未満",1,IF(D31="10万円以上～100万円未満",2,IF(D31="100万円以上～1000万円未満",3,IF(D31="1000万円以上～1億円未満",4,IF(D31="1億円以上",5,0))))))</f>
        <v>1</v>
      </c>
      <c r="K31" s="191">
        <f>IF(E31="",1,IF(E31="お客様からクレーム（店舗対応）問題がない",1,IF(E31="お客様からクレーム（本部対応）影響あり",2,IF(E31="業界紙に掲載ネット炎上",3,IF(E31="全国紙キー局で報道行政指導入会計上の問題",4,IF(E31="社会全体問題",5,0))))))</f>
        <v>1</v>
      </c>
      <c r="L31" s="192"/>
      <c r="M31" s="192" t="s">
        <v>527</v>
      </c>
      <c r="N31" s="193">
        <f>IF(QUOTIENT(($I$33+$K$33),2)=0,1,QUOTIENT(($I$33+$K$33),2))</f>
        <v>1</v>
      </c>
      <c r="O31" s="193">
        <f>IF(MAX($I$31:$K$31)=0,1,MAX($I$31:$K$31))</f>
        <v>1</v>
      </c>
    </row>
    <row r="32" spans="2:15" ht="25.95" customHeight="1" x14ac:dyDescent="0.3">
      <c r="B32" s="61"/>
      <c r="C32" s="49" t="s">
        <v>154</v>
      </c>
      <c r="D32" s="49" t="s">
        <v>538</v>
      </c>
      <c r="E32" s="49" t="s">
        <v>187</v>
      </c>
      <c r="F32" s="49"/>
      <c r="I32" s="190"/>
      <c r="J32" s="190"/>
      <c r="K32" s="190"/>
      <c r="L32" s="190"/>
      <c r="M32" s="192" t="s">
        <v>526</v>
      </c>
      <c r="N32" s="193">
        <v>2</v>
      </c>
      <c r="O32" s="193">
        <v>1</v>
      </c>
    </row>
    <row r="33" spans="2:16" ht="52.2" customHeight="1" x14ac:dyDescent="0.3">
      <c r="B33" s="61"/>
      <c r="C33" s="166"/>
      <c r="D33" s="360"/>
      <c r="E33" s="166"/>
      <c r="F33" s="363"/>
      <c r="I33" s="191">
        <f>IF(C33="まず発生しない",1,IF(C33="まれに起きる年1度",2,IF(C33="たまに起きる半年1度",3,IF(C33="時々起きる月1度",4,IF(C33="よく起きる週1度以上",5,0)))))</f>
        <v>0</v>
      </c>
      <c r="J33" s="191">
        <f>IF(D33="●",5,0)</f>
        <v>0</v>
      </c>
      <c r="K33" s="191">
        <f>IF(E33="対策基準有効",1,IF(E33="対策はあるが不十分",3,IF(E33="対策無し",5,0)))</f>
        <v>0</v>
      </c>
      <c r="L33" s="190">
        <f>IF(F33="決算影響なし",1,IF(F33="月次決算影響した",2,IF(F33="4半期決算影響した",3,IF(F33="ユーザーに影響した",4,IF(F33="その他",1,0)))))</f>
        <v>0</v>
      </c>
      <c r="M33" s="192" t="s">
        <v>525</v>
      </c>
      <c r="N33" s="477" t="str">
        <f>ADDRESS($O$31+$O$32,$N$31+$N$32)</f>
        <v>$C$2</v>
      </c>
      <c r="O33" s="477"/>
    </row>
    <row r="34" spans="2:16" ht="25.95" customHeight="1" x14ac:dyDescent="0.3">
      <c r="B34" s="61"/>
      <c r="C34" s="459" t="s">
        <v>501</v>
      </c>
      <c r="D34" s="461"/>
      <c r="E34" s="482" t="s">
        <v>122</v>
      </c>
      <c r="F34" s="482"/>
      <c r="I34" s="192"/>
      <c r="J34" s="192"/>
      <c r="K34" s="192"/>
      <c r="L34" s="192"/>
      <c r="M34" s="192" t="s">
        <v>528</v>
      </c>
      <c r="N34" s="477" t="str">
        <f ca="1">INDIRECT("'リスク評価基準2021'!"&amp;$N$33)</f>
        <v>低</v>
      </c>
      <c r="O34" s="477"/>
      <c r="P34" s="177"/>
    </row>
    <row r="35" spans="2:16" ht="52.2" customHeight="1" x14ac:dyDescent="0.3">
      <c r="B35" s="61"/>
      <c r="C35" s="464" t="str">
        <f ca="1">INDIRECT("'リスク評価基準2021'!"&amp;ADDRESS(IF(MAX($I$31,$J$31,$K$31,$J$33)=0,1,MAX($I$31,$J$31,$K$31,$J$33))+$O$32,$N$31+$N$32))</f>
        <v>低</v>
      </c>
      <c r="D35" s="465"/>
      <c r="E35" s="466" t="str">
        <f ca="1">INDIRECT("'リスク評価基準2021'!"&amp;$N$33)</f>
        <v>低</v>
      </c>
      <c r="F35" s="466"/>
      <c r="G35" s="48"/>
      <c r="I35" s="190">
        <f>MAX(I31:K31)*6+I33+J33</f>
        <v>6</v>
      </c>
      <c r="J35" s="192"/>
      <c r="K35" s="191">
        <f>MAX(I31:K31)*6+I33+K33</f>
        <v>6</v>
      </c>
      <c r="L35" s="192"/>
      <c r="M35" s="194" t="s">
        <v>529</v>
      </c>
      <c r="N35" s="477" t="str">
        <f ca="1">INDIRECT("'リスク評価基準2021'!"&amp;ADDRESS(IF(MAX($I$31,$J$31,$K$31,$J$33)=0,1,MAX($I$31,$J$31,$K$31,$J$33))+$O$32,$N$31+$N$32))</f>
        <v>低</v>
      </c>
      <c r="O35" s="477"/>
    </row>
    <row r="36" spans="2:16" ht="25.95" customHeight="1" x14ac:dyDescent="0.3">
      <c r="I36" s="190">
        <f>MAX(I31:L31)*6+IF(I33*L33=0,1,I33*L33)</f>
        <v>7</v>
      </c>
      <c r="J36" s="192"/>
      <c r="K36" s="190" t="str">
        <f>IF(K35&lt;=4,"低",IF(AND(K35&gt;=5,K35&lt;=9),"中",IF(AND(K35&gt;=10,K35&lt;=14),"高",IF(K35&gt;=15,"重要",""))))</f>
        <v>中</v>
      </c>
      <c r="L36" s="192"/>
      <c r="M36" s="192"/>
      <c r="N36" s="478" t="str">
        <f>IF(AND(I35&gt;=1,I35&lt;=10),"C：一次対応のみ、即日",IF(AND(I35&gt;=11,I35&lt;=15),"B：年度内解決",IF(AND(I35&gt;=16,I35&lt;=20),"A：4半期内解決",IF(I35&gt;=21,"S：当月内解決",""))))</f>
        <v>C：一次対応のみ、即日</v>
      </c>
      <c r="O36" s="478"/>
    </row>
    <row r="37" spans="2:16" ht="25.95" customHeight="1" x14ac:dyDescent="0.3">
      <c r="B37" s="61"/>
      <c r="C37" s="459" t="s">
        <v>675</v>
      </c>
      <c r="D37" s="460"/>
      <c r="E37" s="460"/>
      <c r="F37" s="461"/>
      <c r="I37" s="187"/>
      <c r="J37" s="187"/>
      <c r="K37" s="187"/>
      <c r="L37" s="187"/>
    </row>
    <row r="38" spans="2:16" ht="25.95" customHeight="1" x14ac:dyDescent="0.3">
      <c r="B38" s="61"/>
      <c r="C38" s="339" t="s">
        <v>678</v>
      </c>
      <c r="D38" s="339"/>
      <c r="E38" s="467" t="s">
        <v>680</v>
      </c>
      <c r="F38" s="468"/>
      <c r="I38" s="187"/>
      <c r="J38" s="187"/>
      <c r="K38" s="187"/>
      <c r="L38" s="187"/>
    </row>
    <row r="39" spans="2:16" ht="52.2" customHeight="1" x14ac:dyDescent="0.3">
      <c r="B39" s="61"/>
      <c r="C39" s="197"/>
      <c r="D39" s="359"/>
      <c r="E39" s="469"/>
      <c r="F39" s="470"/>
      <c r="I39" s="187"/>
      <c r="J39" s="187"/>
      <c r="K39" s="187"/>
      <c r="L39" s="187"/>
    </row>
    <row r="40" spans="2:16" ht="25.95" customHeight="1" x14ac:dyDescent="0.3">
      <c r="B40" s="61"/>
      <c r="C40" s="471" t="s">
        <v>143</v>
      </c>
      <c r="D40" s="471"/>
      <c r="E40" s="471"/>
      <c r="F40" s="471"/>
    </row>
    <row r="41" spans="2:16" ht="156" customHeight="1" x14ac:dyDescent="0.3">
      <c r="B41" s="61"/>
      <c r="C41" s="472"/>
      <c r="D41" s="472"/>
      <c r="E41" s="472"/>
      <c r="F41" s="472"/>
    </row>
    <row r="42" spans="2:16" ht="25.95" customHeight="1" x14ac:dyDescent="0.3"/>
    <row r="43" spans="2:16" ht="25.95" customHeight="1" x14ac:dyDescent="0.3">
      <c r="B43" s="61"/>
      <c r="C43" s="55" t="s">
        <v>349</v>
      </c>
      <c r="D43" s="456"/>
      <c r="E43" s="457"/>
      <c r="F43" s="458"/>
    </row>
  </sheetData>
  <dataConsolidate link="1"/>
  <mergeCells count="38">
    <mergeCell ref="C20:D20"/>
    <mergeCell ref="C37:F37"/>
    <mergeCell ref="D9:F9"/>
    <mergeCell ref="C18:E18"/>
    <mergeCell ref="C19:E19"/>
    <mergeCell ref="C1:F1"/>
    <mergeCell ref="D5:F5"/>
    <mergeCell ref="D8:F8"/>
    <mergeCell ref="D11:F11"/>
    <mergeCell ref="D13:F13"/>
    <mergeCell ref="D12:F12"/>
    <mergeCell ref="N2:O2"/>
    <mergeCell ref="N1:O1"/>
    <mergeCell ref="C2:D2"/>
    <mergeCell ref="N35:O35"/>
    <mergeCell ref="N36:O36"/>
    <mergeCell ref="I30:M30"/>
    <mergeCell ref="N33:O33"/>
    <mergeCell ref="C34:D34"/>
    <mergeCell ref="E34:F34"/>
    <mergeCell ref="N34:O34"/>
    <mergeCell ref="C21:D21"/>
    <mergeCell ref="C26:E26"/>
    <mergeCell ref="C27:E27"/>
    <mergeCell ref="C22:D22"/>
    <mergeCell ref="C23:D23"/>
    <mergeCell ref="C24:D24"/>
    <mergeCell ref="D43:F43"/>
    <mergeCell ref="C29:F29"/>
    <mergeCell ref="C25:D25"/>
    <mergeCell ref="C35:D35"/>
    <mergeCell ref="E35:F35"/>
    <mergeCell ref="E38:F38"/>
    <mergeCell ref="E39:F39"/>
    <mergeCell ref="C40:D40"/>
    <mergeCell ref="C41:D41"/>
    <mergeCell ref="E41:F41"/>
    <mergeCell ref="E40:F40"/>
  </mergeCells>
  <phoneticPr fontId="22"/>
  <conditionalFormatting sqref="F21:F25">
    <cfRule type="cellIs" dxfId="16" priority="7" operator="equal">
      <formula>"要改善"</formula>
    </cfRule>
    <cfRule type="cellIs" dxfId="15" priority="8" operator="equal">
      <formula>"有効"</formula>
    </cfRule>
    <cfRule type="cellIs" dxfId="14" priority="9" operator="equal">
      <formula>"経過観察中"</formula>
    </cfRule>
  </conditionalFormatting>
  <conditionalFormatting sqref="E35">
    <cfRule type="containsText" dxfId="13" priority="4" operator="containsText" text="中">
      <formula>NOT(ISERROR(SEARCH("中",E35)))</formula>
    </cfRule>
    <cfRule type="containsText" dxfId="12" priority="5" operator="containsText" text="高">
      <formula>NOT(ISERROR(SEARCH("高",E35)))</formula>
    </cfRule>
    <cfRule type="containsText" dxfId="11" priority="6" operator="containsText" text="重要">
      <formula>NOT(ISERROR(SEARCH("重要",E35)))</formula>
    </cfRule>
  </conditionalFormatting>
  <conditionalFormatting sqref="C1">
    <cfRule type="expression" dxfId="10" priority="3">
      <formula>$B$1="追跡中"</formula>
    </cfRule>
  </conditionalFormatting>
  <dataValidations xWindow="1032" yWindow="710" count="16">
    <dataValidation type="list" allowBlank="1" showInputMessage="1" showErrorMessage="1" sqref="D33" xr:uid="{B9C8352F-1D48-40E0-95BC-780343D7808D}">
      <formula1>"●"</formula1>
    </dataValidation>
    <dataValidation allowBlank="1" showInputMessage="1" showErrorMessage="1" prompt="タイトルをご記入ください。改行を入れてください。_x000a_記入例：【G型リベート登録ミス】改行_x000a_仕入先コード間違い" sqref="D5" xr:uid="{72CA829F-E5B6-4D12-B17C-3495F5CCB877}"/>
    <dataValidation operator="greaterThanOrEqual" allowBlank="1" showInputMessage="1" error="整数で入力してください" prompt="自動に表示されます" sqref="E35:F35" xr:uid="{1FE4C75A-E883-4050-B018-3FA77F13C323}"/>
    <dataValidation allowBlank="1" showInputMessage="1" showErrorMessage="1" prompt="いつ、何を更新したのかをご記入ください" sqref="C41" xr:uid="{81EE6ED3-8DAC-4DCE-ABE8-2B742DBFEA63}"/>
    <dataValidation allowBlank="1" showInputMessage="1" showErrorMessage="1" prompt="起きた事象の内容をご記入ください" sqref="D11:D12" xr:uid="{2545051E-21D3-4632-A966-9A1AA97E4E36}"/>
    <dataValidation allowBlank="1" showInputMessage="1" showErrorMessage="1" prompt="対応した内容をご記入ください" sqref="H31 D39:E39 C21:C25 D22:E25" xr:uid="{FB8FC136-13A7-4EDD-AD0F-65DAD8989E7E}"/>
    <dataValidation allowBlank="1" showInputMessage="1" showErrorMessage="1" prompt="今後実施する予定の対策内容をご記入ください" sqref="F25 C23 C41 C25 C27 F23" xr:uid="{B988CADF-44EB-4E6E-8FCA-809E8A846EF9}"/>
    <dataValidation allowBlank="1" showInputMessage="1" showErrorMessage="1" prompt="なぜ事象が起きたのかをご記入ください" sqref="D13:F13" xr:uid="{657A4511-EF4E-4273-AC34-59BA23B28045}"/>
    <dataValidation allowBlank="1" showInputMessage="1" showErrorMessage="1" prompt="誰が：事象を起こした人名、部署名をご記入ください_x000a_何が：事象を起こした物名をご記入ください" sqref="D10" xr:uid="{16B17D38-C631-4C06-A9D4-E1FF9826198B}"/>
    <dataValidation allowBlank="1" showInputMessage="1" showErrorMessage="1" prompt="発見した部署名をご記入ください" sqref="F10" xr:uid="{5F7A205E-77F9-42D1-B8A7-6FA024860477}"/>
    <dataValidation type="date" operator="greaterThanOrEqual" allowBlank="1" showInputMessage="1" error="「年/月」の形式で入力してください。_x000a_例：2020/4" prompt="影響のあった月をご記入ください_x000a_リベートの場合、翌月に影響がでることがあります_x000a_入力例：2020/4_x000a_表示：2020年4月度" sqref="F7" xr:uid="{49706D55-E2DD-427F-9F80-802BDF63EB89}">
      <formula1>43831</formula1>
    </dataValidation>
    <dataValidation type="date" operator="greaterThanOrEqual" allowBlank="1" showInputMessage="1" showErrorMessage="1" error="日付を入力して下さい" prompt="事象が発生した日をご記入ください" sqref="D7" xr:uid="{08AA5677-8E0F-4E2C-91FC-5D316F361E0A}">
      <formula1>1</formula1>
    </dataValidation>
    <dataValidation type="list" allowBlank="1" showInputMessage="1" showErrorMessage="1" prompt="対応した内容をご記入ください" sqref="C39 F19" xr:uid="{5C1AAC83-79C1-431A-A804-4FD8680AC006}">
      <formula1>"●"</formula1>
    </dataValidation>
    <dataValidation type="list" allowBlank="1" showInputMessage="1" showErrorMessage="1" prompt="今後実施する予定の対策内容をご記入ください" sqref="F27" xr:uid="{AEDBEBD6-823D-4674-AB1E-07FE5B79AB21}">
      <formula1>"●"</formula1>
    </dataValidation>
    <dataValidation type="list" allowBlank="1" prompt="発見した部署名をご記入ください" sqref="F2" xr:uid="{84825CDE-1B22-404F-912D-EC46069DFC69}">
      <formula1>"●"</formula1>
    </dataValidation>
    <dataValidation type="list" allowBlank="1" showInputMessage="1" prompt="対応した内容をご記入ください" sqref="E21" xr:uid="{2E3A2090-F5DD-4CD8-95B2-74FFA0F4FBA3}">
      <formula1>"●"</formula1>
    </dataValidation>
  </dataValidations>
  <pageMargins left="0.7" right="0.7" top="0.75" bottom="0.75" header="0.3" footer="0.3"/>
  <pageSetup paperSize="9" scale="3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編集用シート_DB登録">
                <anchor moveWithCells="1" sizeWithCells="1">
                  <from>
                    <xdr:col>7</xdr:col>
                    <xdr:colOff>0</xdr:colOff>
                    <xdr:row>1</xdr:row>
                    <xdr:rowOff>22860</xdr:rowOff>
                  </from>
                  <to>
                    <xdr:col>8</xdr:col>
                    <xdr:colOff>0</xdr:colOff>
                    <xdr:row>3</xdr:row>
                    <xdr:rowOff>0</xdr:rowOff>
                  </to>
                </anchor>
              </controlPr>
            </control>
          </mc:Choice>
        </mc:AlternateContent>
        <mc:AlternateContent xmlns:mc="http://schemas.openxmlformats.org/markup-compatibility/2006">
          <mc:Choice Requires="x14">
            <control shapeId="57346" r:id="rId5" name="Button 2">
              <controlPr defaultSize="0" print="0" autoFill="0" autoPict="0" macro="[0]!編集用シート_ID検索">
                <anchor moveWithCells="1">
                  <from>
                    <xdr:col>9</xdr:col>
                    <xdr:colOff>7620</xdr:colOff>
                    <xdr:row>1</xdr:row>
                    <xdr:rowOff>7620</xdr:rowOff>
                  </from>
                  <to>
                    <xdr:col>11</xdr:col>
                    <xdr:colOff>0</xdr:colOff>
                    <xdr:row>1</xdr:row>
                    <xdr:rowOff>327660</xdr:rowOff>
                  </to>
                </anchor>
              </controlPr>
            </control>
          </mc:Choice>
        </mc:AlternateContent>
        <mc:AlternateContent xmlns:mc="http://schemas.openxmlformats.org/markup-compatibility/2006">
          <mc:Choice Requires="x14">
            <control shapeId="57347" r:id="rId6" name="Button 3">
              <controlPr defaultSize="0" print="0" autoFill="0" autoPict="0" macro="[0]!編集用シート_検索上へ戻る">
                <anchor moveWithCells="1">
                  <from>
                    <xdr:col>12</xdr:col>
                    <xdr:colOff>7620</xdr:colOff>
                    <xdr:row>1</xdr:row>
                    <xdr:rowOff>22860</xdr:rowOff>
                  </from>
                  <to>
                    <xdr:col>12</xdr:col>
                    <xdr:colOff>723900</xdr:colOff>
                    <xdr:row>1</xdr:row>
                    <xdr:rowOff>312420</xdr:rowOff>
                  </to>
                </anchor>
              </controlPr>
            </control>
          </mc:Choice>
        </mc:AlternateContent>
        <mc:AlternateContent xmlns:mc="http://schemas.openxmlformats.org/markup-compatibility/2006">
          <mc:Choice Requires="x14">
            <control shapeId="57348" r:id="rId7" name="Button 4">
              <controlPr defaultSize="0" print="0" autoFill="0" autoPict="0" macro="[0]!編集用シート_検索下へ進む">
                <anchor moveWithCells="1">
                  <from>
                    <xdr:col>12</xdr:col>
                    <xdr:colOff>7620</xdr:colOff>
                    <xdr:row>2</xdr:row>
                    <xdr:rowOff>7620</xdr:rowOff>
                  </from>
                  <to>
                    <xdr:col>12</xdr:col>
                    <xdr:colOff>731520</xdr:colOff>
                    <xdr:row>3</xdr:row>
                    <xdr:rowOff>0</xdr:rowOff>
                  </to>
                </anchor>
              </controlPr>
            </control>
          </mc:Choice>
        </mc:AlternateContent>
        <mc:AlternateContent xmlns:mc="http://schemas.openxmlformats.org/markup-compatibility/2006">
          <mc:Choice Requires="x14">
            <control shapeId="57349" r:id="rId8" name="Button 5">
              <controlPr defaultSize="0" print="0" autoFill="0" autoPict="0" macro="[0]!グループリスク管理室フォーマットへ転記ver2">
                <anchor moveWithCells="1">
                  <from>
                    <xdr:col>15</xdr:col>
                    <xdr:colOff>22860</xdr:colOff>
                    <xdr:row>1</xdr:row>
                    <xdr:rowOff>22860</xdr:rowOff>
                  </from>
                  <to>
                    <xdr:col>16</xdr:col>
                    <xdr:colOff>746760</xdr:colOff>
                    <xdr:row>2</xdr:row>
                    <xdr:rowOff>312420</xdr:rowOff>
                  </to>
                </anchor>
              </controlPr>
            </control>
          </mc:Choice>
        </mc:AlternateContent>
        <mc:AlternateContent xmlns:mc="http://schemas.openxmlformats.org/markup-compatibility/2006">
          <mc:Choice Requires="x14">
            <control shapeId="57351" r:id="rId9" name="Button 7">
              <controlPr defaultSize="0" print="0" autoFill="0" autoPict="0" macro="[0]!編集用シート_WFID検索">
                <anchor moveWithCells="1">
                  <from>
                    <xdr:col>9</xdr:col>
                    <xdr:colOff>0</xdr:colOff>
                    <xdr:row>2</xdr:row>
                    <xdr:rowOff>22860</xdr:rowOff>
                  </from>
                  <to>
                    <xdr:col>10</xdr:col>
                    <xdr:colOff>731520</xdr:colOff>
                    <xdr:row>2</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2" yWindow="710" count="13">
        <x14:dataValidation type="list" allowBlank="1" showInputMessage="1" prompt="●運用不備_x000a_●整備不備_x000a_●その他：内容をご記入ください" xr:uid="{94E94AEE-F60F-425B-B375-0AEC8745B623}">
          <x14:formula1>
            <xm:f>リスト!$C$1:$C$3</xm:f>
          </x14:formula1>
          <xm:sqref>D16</xm:sqref>
        </x14:dataValidation>
        <x14:dataValidation type="list" allowBlank="1" showInputMessage="1" showErrorMessage="1" xr:uid="{95C2EA7E-C9D6-4F01-B4F5-BADA9FE3974B}">
          <x14:formula1>
            <xm:f>リスト!$E$18:$E$21</xm:f>
          </x14:formula1>
          <xm:sqref>F16</xm:sqref>
        </x14:dataValidation>
        <x14:dataValidation type="list" allowBlank="1" showInputMessage="1" showErrorMessage="1" xr:uid="{46325BA9-F0D2-4066-A1BE-1D1827624637}">
          <x14:formula1>
            <xm:f>'C:\Users\11201062\【作業】インシデント管理\[layout_sam.xlsm]リスト'!#REF!</xm:f>
          </x14:formula1>
          <xm:sqref>F16</xm:sqref>
        </x14:dataValidation>
        <x14:dataValidation type="list" allowBlank="1" showInputMessage="1" showErrorMessage="1" prompt="対応した結果をお選びください_x000a_●有効_x000a_●要改善_x000a_●経過観察中" xr:uid="{927F7F2E-DCF0-4DF9-A133-20CC6A4F3DBF}">
          <x14:formula1>
            <xm:f>リスト!$A$1:$A$3</xm:f>
          </x14:formula1>
          <xm:sqref>F21 F25 F23</xm:sqref>
        </x14:dataValidation>
        <x14:dataValidation type="list" allowBlank="1" showInputMessage="1" showErrorMessage="1" prompt="●インシデント：ヒヤリハット_x000a_　 現場や業務でヒヤリとした事象_x000a_●アクシデント：事故_x000a_　 被害を及ぼすような事象" xr:uid="{BB7F70FC-515C-4B91-B524-5685A4540E89}">
          <x14:formula1>
            <xm:f>リスト!$B$10:$B$11</xm:f>
          </x14:formula1>
          <xm:sqref>F3</xm:sqref>
        </x14:dataValidation>
        <x14:dataValidation type="list" allowBlank="1" showInputMessage="1" prompt="1　対策基準が有効である_x000a_3　対策はあるが不十分である_x000a_5　対策は無し" xr:uid="{B6E0CD16-ADFF-4448-91B5-C341D4E5F164}">
          <x14:formula1>
            <xm:f>リスト!$N$9:$N$11</xm:f>
          </x14:formula1>
          <xm:sqref>E33</xm:sqref>
        </x14:dataValidation>
        <x14:dataValidation type="list" allowBlank="1" showInputMessage="1" showErrorMessage="1" prompt="1　絆創膏程度のけが_x000a_2　病院での治療、休業無し_x000a_3　通院が必要、休業3日以内_x000a_4　休業4日以上_x000a_5　重度障害・死亡事故" xr:uid="{752F62EB-0BCE-4095-9903-58760788E4E7}">
          <x14:formula1>
            <xm:f>リスト!$K$9:$K$13</xm:f>
          </x14:formula1>
          <xm:sqref>C31</xm:sqref>
        </x14:dataValidation>
        <x14:dataValidation type="list" allowBlank="1" showInputMessage="1" showErrorMessage="1" prompt="1　0円~10万円未満の損失_x000a_2　10万円以上～100万円未満の損失_x000a_3　100万円以上～1000万円未満の損失_x000a_4　1000万円以上～1億円未満の損失_x000a_5　1億円以上の損失" xr:uid="{778BD22F-AC2D-45E0-B84F-C4BB7DEC5E40}">
          <x14:formula1>
            <xm:f>リスト!$L$9:$L$13</xm:f>
          </x14:formula1>
          <xm:sqref>D31</xm:sqref>
        </x14:dataValidation>
        <x14:dataValidation type="list" allowBlank="1" showInputMessage="1" showErrorMessage="1" prompt="1　お客様からクレーム（店舗対応）、問題がない_x000a_2　お客様からクレーム（本部対応）、多少の影響あり_x000a_3　業界紙に掲載。ネット炎上。_x000a_4　全国紙・キー局で報道、行政指導入る、会計上の問題。_x000a_5　社会全体の問題" xr:uid="{AFC31666-92C7-4AA3-9915-C8F82C111C94}">
          <x14:formula1>
            <xm:f>リスト!$M$9:$M$13</xm:f>
          </x14:formula1>
          <xm:sqref>E31</xm:sqref>
        </x14:dataValidation>
        <x14:dataValidation type="list" allowBlank="1" showInputMessage="1" showErrorMessage="1" prompt="1　まず発生しない_x000a_2　まれに起きる、年1度_x000a_3　たまに起きる、半年1度_x000a_4　時々起きる、月1度_x000a_5　よく起きる、週1度以上" xr:uid="{580794D9-249C-47F2-99FF-1F4E0E83D5E4}">
          <x14:formula1>
            <xm:f>リスト!$O$9:$O$13</xm:f>
          </x14:formula1>
          <xm:sqref>C33</xm:sqref>
        </x14:dataValidation>
        <x14:dataValidation type="list" allowBlank="1" showInputMessage="1" showErrorMessage="1" xr:uid="{571B4033-E535-4DC6-87EB-45AA0DF84D92}">
          <x14:formula1>
            <xm:f>リスト!$C$18:$C$26</xm:f>
          </x14:formula1>
          <xm:sqref>F15</xm:sqref>
        </x14:dataValidation>
        <x14:dataValidation type="list" allowBlank="1" showInputMessage="1" xr:uid="{90E2648D-28DF-4E48-8D8A-30B098B6B7D1}">
          <x14:formula1>
            <xm:f>リスト!$A$18:$A$23</xm:f>
          </x14:formula1>
          <xm:sqref>F14</xm:sqref>
        </x14:dataValidation>
        <x14:dataValidation type="list" allowBlank="1" showInputMessage="1" showErrorMessage="1" xr:uid="{31DE5B39-E8FD-4707-80D8-CF760EE8D605}">
          <x14:formula1>
            <xm:f>リスト!$H$18:$H$37</xm:f>
          </x14:formula1>
          <xm:sqref>D6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BB2B0-9C9E-401B-9630-1CEAFE1A52B0}">
  <sheetPr codeName="Sheet23"/>
  <dimension ref="A1:H8"/>
  <sheetViews>
    <sheetView workbookViewId="0">
      <selection activeCell="R5" sqref="R5"/>
    </sheetView>
  </sheetViews>
  <sheetFormatPr defaultRowHeight="15" x14ac:dyDescent="0.3"/>
  <cols>
    <col min="1" max="8" width="6.6328125" customWidth="1"/>
  </cols>
  <sheetData>
    <row r="1" spans="1:8" ht="40.200000000000003" customHeight="1" x14ac:dyDescent="0.3">
      <c r="A1" s="172" t="s">
        <v>516</v>
      </c>
      <c r="B1" s="173" t="s">
        <v>517</v>
      </c>
      <c r="C1" s="171"/>
      <c r="D1" s="171"/>
      <c r="E1" s="171"/>
      <c r="F1" s="171"/>
      <c r="G1" s="171"/>
      <c r="H1" s="171"/>
    </row>
    <row r="2" spans="1:8" ht="40.200000000000003" customHeight="1" x14ac:dyDescent="0.3">
      <c r="A2" s="172">
        <v>1</v>
      </c>
      <c r="B2" s="175">
        <v>1</v>
      </c>
      <c r="C2" s="182" t="s">
        <v>43</v>
      </c>
      <c r="D2" s="182" t="s">
        <v>43</v>
      </c>
      <c r="E2" s="182" t="s">
        <v>43</v>
      </c>
      <c r="F2" s="180" t="s">
        <v>36</v>
      </c>
      <c r="G2" s="179" t="s">
        <v>29</v>
      </c>
      <c r="H2" s="171"/>
    </row>
    <row r="3" spans="1:8" ht="40.200000000000003" customHeight="1" x14ac:dyDescent="0.3">
      <c r="A3" s="172">
        <v>2</v>
      </c>
      <c r="B3" s="175">
        <v>2</v>
      </c>
      <c r="C3" s="182" t="s">
        <v>43</v>
      </c>
      <c r="D3" s="182" t="s">
        <v>43</v>
      </c>
      <c r="E3" s="180" t="s">
        <v>36</v>
      </c>
      <c r="F3" s="179" t="s">
        <v>29</v>
      </c>
      <c r="G3" s="179" t="s">
        <v>29</v>
      </c>
      <c r="H3" s="171"/>
    </row>
    <row r="4" spans="1:8" ht="40.200000000000003" customHeight="1" x14ac:dyDescent="0.3">
      <c r="A4" s="172">
        <v>3</v>
      </c>
      <c r="B4" s="175">
        <v>3</v>
      </c>
      <c r="C4" s="180" t="s">
        <v>36</v>
      </c>
      <c r="D4" s="180" t="s">
        <v>36</v>
      </c>
      <c r="E4" s="179" t="s">
        <v>29</v>
      </c>
      <c r="F4" s="179" t="s">
        <v>29</v>
      </c>
      <c r="G4" s="181" t="s">
        <v>22</v>
      </c>
      <c r="H4" s="174"/>
    </row>
    <row r="5" spans="1:8" ht="40.200000000000003" customHeight="1" x14ac:dyDescent="0.3">
      <c r="A5" s="172">
        <v>4</v>
      </c>
      <c r="B5" s="175">
        <v>4</v>
      </c>
      <c r="C5" s="179" t="s">
        <v>29</v>
      </c>
      <c r="D5" s="179" t="s">
        <v>29</v>
      </c>
      <c r="E5" s="178" t="s">
        <v>22</v>
      </c>
      <c r="F5" s="178" t="s">
        <v>22</v>
      </c>
      <c r="G5" s="178" t="s">
        <v>22</v>
      </c>
      <c r="H5" s="174"/>
    </row>
    <row r="6" spans="1:8" ht="40.200000000000003" customHeight="1" x14ac:dyDescent="0.3">
      <c r="A6" s="172">
        <v>5</v>
      </c>
      <c r="B6" s="175">
        <v>5</v>
      </c>
      <c r="C6" s="178" t="s">
        <v>22</v>
      </c>
      <c r="D6" s="178" t="s">
        <v>22</v>
      </c>
      <c r="E6" s="178" t="s">
        <v>22</v>
      </c>
      <c r="F6" s="178" t="s">
        <v>22</v>
      </c>
      <c r="G6" s="178" t="s">
        <v>22</v>
      </c>
      <c r="H6" s="174"/>
    </row>
    <row r="7" spans="1:8" ht="40.200000000000003" customHeight="1" x14ac:dyDescent="0.3">
      <c r="A7" s="174"/>
      <c r="B7" s="174"/>
      <c r="C7" s="175">
        <v>1</v>
      </c>
      <c r="D7" s="175">
        <v>2</v>
      </c>
      <c r="E7" s="175">
        <v>3</v>
      </c>
      <c r="F7" s="175">
        <v>4</v>
      </c>
      <c r="G7" s="175">
        <v>5</v>
      </c>
      <c r="H7" s="173" t="s">
        <v>518</v>
      </c>
    </row>
    <row r="8" spans="1:8" ht="40.200000000000003" customHeight="1" x14ac:dyDescent="0.3">
      <c r="A8" s="174"/>
      <c r="B8" s="174"/>
      <c r="C8" s="176">
        <v>2</v>
      </c>
      <c r="D8" s="176" t="s">
        <v>519</v>
      </c>
      <c r="E8" s="176" t="s">
        <v>520</v>
      </c>
      <c r="F8" s="176" t="s">
        <v>521</v>
      </c>
      <c r="G8" s="176" t="s">
        <v>522</v>
      </c>
      <c r="H8" s="176" t="s">
        <v>516</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R44"/>
  <sheetViews>
    <sheetView topLeftCell="A10" zoomScale="85" zoomScaleNormal="85" workbookViewId="0">
      <selection activeCell="R5" sqref="R5"/>
    </sheetView>
  </sheetViews>
  <sheetFormatPr defaultColWidth="8.81640625" defaultRowHeight="15" x14ac:dyDescent="0.3"/>
  <cols>
    <col min="1" max="3" width="8.81640625" style="41"/>
    <col min="4" max="4" width="12.36328125" style="41" bestFit="1" customWidth="1"/>
    <col min="5" max="6" width="8.81640625" style="41"/>
    <col min="7" max="7" width="13" style="41" bestFit="1" customWidth="1"/>
    <col min="8" max="10" width="8.81640625" style="41"/>
    <col min="11" max="11" width="17.54296875" style="41" bestFit="1" customWidth="1"/>
    <col min="12" max="12" width="24.08984375" style="41" bestFit="1" customWidth="1"/>
    <col min="13" max="13" width="35.6328125" style="41" bestFit="1" customWidth="1"/>
    <col min="14" max="14" width="15.1796875" style="41" bestFit="1" customWidth="1"/>
    <col min="15" max="15" width="17.1796875" style="41" customWidth="1"/>
    <col min="16" max="16" width="14.54296875" style="41" bestFit="1" customWidth="1"/>
    <col min="17" max="17" width="12.81640625" style="41" bestFit="1" customWidth="1"/>
    <col min="18" max="18" width="15.90625" style="41" bestFit="1" customWidth="1"/>
    <col min="19" max="16384" width="8.81640625" style="41"/>
  </cols>
  <sheetData>
    <row r="1" spans="1:18" x14ac:dyDescent="0.3">
      <c r="A1" s="41" t="s">
        <v>0</v>
      </c>
      <c r="B1" s="41" t="s">
        <v>69</v>
      </c>
      <c r="C1" s="41" t="s">
        <v>120</v>
      </c>
      <c r="D1" s="41">
        <v>1</v>
      </c>
      <c r="E1" s="41" t="s">
        <v>126</v>
      </c>
      <c r="G1" s="41" t="s">
        <v>72</v>
      </c>
      <c r="I1" s="43" t="s">
        <v>84</v>
      </c>
      <c r="K1" s="42" t="s">
        <v>100</v>
      </c>
      <c r="L1" s="42" t="s">
        <v>102</v>
      </c>
      <c r="M1" s="42" t="s">
        <v>18</v>
      </c>
      <c r="N1" s="42" t="s">
        <v>108</v>
      </c>
      <c r="O1" s="42" t="s">
        <v>114</v>
      </c>
      <c r="Q1" s="41">
        <v>1</v>
      </c>
    </row>
    <row r="2" spans="1:18" x14ac:dyDescent="0.3">
      <c r="A2" s="41" t="s">
        <v>1</v>
      </c>
      <c r="B2" s="41" t="s">
        <v>70</v>
      </c>
      <c r="C2" s="41" t="s">
        <v>121</v>
      </c>
      <c r="D2" s="41">
        <v>2</v>
      </c>
      <c r="E2" s="41" t="s">
        <v>127</v>
      </c>
      <c r="G2" s="41" t="s">
        <v>73</v>
      </c>
      <c r="I2" s="43" t="s">
        <v>85</v>
      </c>
      <c r="K2" s="42" t="s">
        <v>23</v>
      </c>
      <c r="L2" s="42" t="s">
        <v>103</v>
      </c>
      <c r="M2" s="42" t="s">
        <v>105</v>
      </c>
      <c r="N2" s="42" t="s">
        <v>167</v>
      </c>
      <c r="O2" s="42" t="s">
        <v>113</v>
      </c>
      <c r="Q2" s="41">
        <v>2</v>
      </c>
    </row>
    <row r="3" spans="1:18" x14ac:dyDescent="0.3">
      <c r="A3" s="41" t="s">
        <v>2</v>
      </c>
      <c r="B3" s="41" t="s">
        <v>71</v>
      </c>
      <c r="C3" s="41" t="s">
        <v>144</v>
      </c>
      <c r="D3" s="41">
        <v>3</v>
      </c>
      <c r="E3" s="41" t="s">
        <v>128</v>
      </c>
      <c r="G3" s="41" t="s">
        <v>74</v>
      </c>
      <c r="I3" s="43" t="s">
        <v>86</v>
      </c>
      <c r="K3" s="42" t="s">
        <v>30</v>
      </c>
      <c r="L3" s="42" t="s">
        <v>104</v>
      </c>
      <c r="M3" s="42" t="s">
        <v>106</v>
      </c>
      <c r="N3" s="42" t="s">
        <v>109</v>
      </c>
      <c r="O3" s="42" t="s">
        <v>112</v>
      </c>
      <c r="Q3" s="41">
        <v>3</v>
      </c>
    </row>
    <row r="4" spans="1:18" ht="30" x14ac:dyDescent="0.3">
      <c r="B4" s="41" t="s">
        <v>3</v>
      </c>
      <c r="D4" s="41">
        <v>4</v>
      </c>
      <c r="E4" s="41" t="s">
        <v>129</v>
      </c>
      <c r="G4" s="41" t="s">
        <v>75</v>
      </c>
      <c r="I4" s="43" t="s">
        <v>87</v>
      </c>
      <c r="K4" s="42" t="s">
        <v>101</v>
      </c>
      <c r="L4" s="42" t="s">
        <v>38</v>
      </c>
      <c r="M4" s="42" t="s">
        <v>107</v>
      </c>
      <c r="N4" s="42" t="s">
        <v>125</v>
      </c>
      <c r="O4" s="42" t="s">
        <v>111</v>
      </c>
      <c r="Q4" s="41">
        <v>4</v>
      </c>
    </row>
    <row r="5" spans="1:18" x14ac:dyDescent="0.3">
      <c r="B5" s="41" t="s">
        <v>119</v>
      </c>
      <c r="D5" s="41">
        <v>5</v>
      </c>
      <c r="G5" s="41" t="s">
        <v>76</v>
      </c>
      <c r="I5" s="43" t="s">
        <v>88</v>
      </c>
      <c r="K5" s="42" t="s">
        <v>44</v>
      </c>
      <c r="L5" s="42" t="s">
        <v>45</v>
      </c>
      <c r="M5" s="42" t="s">
        <v>46</v>
      </c>
      <c r="N5" s="42" t="s">
        <v>47</v>
      </c>
      <c r="O5" s="42" t="s">
        <v>110</v>
      </c>
      <c r="Q5" s="41">
        <v>5</v>
      </c>
    </row>
    <row r="6" spans="1:18" x14ac:dyDescent="0.3">
      <c r="G6" s="41" t="s">
        <v>77</v>
      </c>
      <c r="I6" s="43" t="s">
        <v>89</v>
      </c>
    </row>
    <row r="7" spans="1:18" x14ac:dyDescent="0.3">
      <c r="G7" s="41" t="s">
        <v>78</v>
      </c>
      <c r="I7" s="43" t="s">
        <v>90</v>
      </c>
    </row>
    <row r="8" spans="1:18" x14ac:dyDescent="0.3">
      <c r="G8" s="41" t="s">
        <v>79</v>
      </c>
      <c r="I8" s="43" t="s">
        <v>4</v>
      </c>
      <c r="K8" s="77" t="s">
        <v>188</v>
      </c>
      <c r="L8" s="77" t="s">
        <v>232</v>
      </c>
      <c r="M8" s="77" t="s">
        <v>231</v>
      </c>
      <c r="N8" s="77" t="s">
        <v>201</v>
      </c>
      <c r="O8" s="77" t="s">
        <v>94</v>
      </c>
      <c r="P8" s="77" t="s">
        <v>500</v>
      </c>
      <c r="Q8" s="77" t="s">
        <v>502</v>
      </c>
      <c r="R8" s="77" t="s">
        <v>502</v>
      </c>
    </row>
    <row r="9" spans="1:18" x14ac:dyDescent="0.3">
      <c r="G9" s="41" t="s">
        <v>80</v>
      </c>
      <c r="I9" s="43" t="s">
        <v>91</v>
      </c>
      <c r="K9" s="168" t="s">
        <v>210</v>
      </c>
      <c r="L9" s="168" t="s">
        <v>215</v>
      </c>
      <c r="M9" s="168" t="s">
        <v>220</v>
      </c>
      <c r="N9" s="168" t="s">
        <v>223</v>
      </c>
      <c r="O9" s="168" t="s">
        <v>226</v>
      </c>
      <c r="P9" s="168" t="s">
        <v>513</v>
      </c>
      <c r="Q9" s="169" t="s">
        <v>505</v>
      </c>
      <c r="R9" s="41" t="s">
        <v>509</v>
      </c>
    </row>
    <row r="10" spans="1:18" x14ac:dyDescent="0.3">
      <c r="A10" s="44" t="s">
        <v>115</v>
      </c>
      <c r="B10" s="41" t="s">
        <v>117</v>
      </c>
      <c r="G10" s="41" t="s">
        <v>81</v>
      </c>
      <c r="I10" s="43" t="s">
        <v>92</v>
      </c>
      <c r="K10" s="168" t="s">
        <v>211</v>
      </c>
      <c r="L10" s="168" t="s">
        <v>216</v>
      </c>
      <c r="M10" s="168" t="s">
        <v>221</v>
      </c>
      <c r="N10" s="168" t="s">
        <v>224</v>
      </c>
      <c r="O10" s="168" t="s">
        <v>227</v>
      </c>
      <c r="Q10" s="169" t="s">
        <v>504</v>
      </c>
      <c r="R10" s="41" t="s">
        <v>510</v>
      </c>
    </row>
    <row r="11" spans="1:18" x14ac:dyDescent="0.3">
      <c r="A11" s="41" t="s">
        <v>116</v>
      </c>
      <c r="B11" s="41" t="s">
        <v>118</v>
      </c>
      <c r="G11" s="41" t="s">
        <v>82</v>
      </c>
      <c r="I11" s="43" t="s">
        <v>93</v>
      </c>
      <c r="K11" s="168" t="s">
        <v>212</v>
      </c>
      <c r="L11" s="168" t="s">
        <v>217</v>
      </c>
      <c r="M11" s="168" t="s">
        <v>234</v>
      </c>
      <c r="N11" s="168" t="s">
        <v>225</v>
      </c>
      <c r="O11" s="168" t="s">
        <v>228</v>
      </c>
      <c r="Q11" s="169" t="s">
        <v>503</v>
      </c>
      <c r="R11" s="41" t="s">
        <v>511</v>
      </c>
    </row>
    <row r="12" spans="1:18" ht="15" customHeight="1" x14ac:dyDescent="0.3">
      <c r="G12" s="41" t="s">
        <v>83</v>
      </c>
      <c r="I12" s="43" t="s">
        <v>68</v>
      </c>
      <c r="K12" s="168" t="s">
        <v>213</v>
      </c>
      <c r="L12" s="168" t="s">
        <v>218</v>
      </c>
      <c r="M12" s="168" t="s">
        <v>233</v>
      </c>
      <c r="N12" s="168"/>
      <c r="O12" s="168" t="s">
        <v>229</v>
      </c>
      <c r="Q12" s="170" t="s">
        <v>506</v>
      </c>
      <c r="R12" s="41" t="s">
        <v>512</v>
      </c>
    </row>
    <row r="13" spans="1:18" x14ac:dyDescent="0.3">
      <c r="K13" s="168" t="s">
        <v>214</v>
      </c>
      <c r="L13" s="168" t="s">
        <v>219</v>
      </c>
      <c r="M13" s="168" t="s">
        <v>222</v>
      </c>
      <c r="N13" s="168"/>
      <c r="O13" s="168" t="s">
        <v>230</v>
      </c>
      <c r="Q13" s="169" t="s">
        <v>475</v>
      </c>
      <c r="R13" s="41" t="s">
        <v>432</v>
      </c>
    </row>
    <row r="17" spans="1:14" ht="16.2" x14ac:dyDescent="0.3">
      <c r="A17" s="98" t="s">
        <v>331</v>
      </c>
      <c r="B17" s="99"/>
      <c r="C17" s="98" t="s">
        <v>332</v>
      </c>
      <c r="D17" s="81"/>
      <c r="E17" s="98" t="s">
        <v>336</v>
      </c>
      <c r="G17" s="117" t="s">
        <v>424</v>
      </c>
      <c r="H17" s="98" t="s">
        <v>252</v>
      </c>
      <c r="I17" s="115" t="s">
        <v>369</v>
      </c>
      <c r="J17" s="115" t="s">
        <v>366</v>
      </c>
      <c r="K17" s="116" t="s">
        <v>96</v>
      </c>
      <c r="M17" s="41" t="s">
        <v>135</v>
      </c>
      <c r="N17" s="41" t="s">
        <v>494</v>
      </c>
    </row>
    <row r="18" spans="1:14" ht="16.2" x14ac:dyDescent="0.3">
      <c r="A18" s="41" t="s">
        <v>145</v>
      </c>
      <c r="C18" s="164" t="s">
        <v>489</v>
      </c>
      <c r="E18" s="41" t="s">
        <v>337</v>
      </c>
      <c r="G18" s="41" t="s">
        <v>425</v>
      </c>
      <c r="H18" s="64" t="s">
        <v>238</v>
      </c>
      <c r="I18" t="s">
        <v>370</v>
      </c>
      <c r="J18" t="s">
        <v>371</v>
      </c>
      <c r="K18" s="45" t="s">
        <v>95</v>
      </c>
      <c r="M18" s="41" t="s">
        <v>177</v>
      </c>
      <c r="N18" s="41" t="s">
        <v>495</v>
      </c>
    </row>
    <row r="19" spans="1:14" ht="16.2" x14ac:dyDescent="0.3">
      <c r="A19" s="41" t="s">
        <v>335</v>
      </c>
      <c r="C19" s="165" t="s">
        <v>490</v>
      </c>
      <c r="E19" s="41" t="s">
        <v>338</v>
      </c>
      <c r="G19" s="41" t="s">
        <v>426</v>
      </c>
      <c r="H19" s="64" t="s">
        <v>239</v>
      </c>
      <c r="I19" t="s">
        <v>372</v>
      </c>
      <c r="J19" t="s">
        <v>373</v>
      </c>
      <c r="K19" s="45" t="s">
        <v>124</v>
      </c>
      <c r="L19" s="45"/>
      <c r="M19" s="41" t="s">
        <v>179</v>
      </c>
      <c r="N19" s="41" t="s">
        <v>496</v>
      </c>
    </row>
    <row r="20" spans="1:14" ht="16.2" x14ac:dyDescent="0.3">
      <c r="A20" s="41" t="s">
        <v>169</v>
      </c>
      <c r="C20" s="165" t="s">
        <v>491</v>
      </c>
      <c r="E20" s="41" t="s">
        <v>339</v>
      </c>
      <c r="G20" s="41" t="s">
        <v>427</v>
      </c>
      <c r="H20" s="64" t="s">
        <v>240</v>
      </c>
      <c r="I20" t="s">
        <v>374</v>
      </c>
      <c r="J20" t="s">
        <v>375</v>
      </c>
      <c r="K20" s="45" t="s">
        <v>97</v>
      </c>
      <c r="L20" s="45"/>
      <c r="M20" s="45" t="s">
        <v>178</v>
      </c>
      <c r="N20" s="41" t="s">
        <v>497</v>
      </c>
    </row>
    <row r="21" spans="1:14" x14ac:dyDescent="0.3">
      <c r="A21" s="41" t="s">
        <v>333</v>
      </c>
      <c r="C21" s="165" t="s">
        <v>492</v>
      </c>
      <c r="D21" s="81"/>
      <c r="E21" s="41" t="s">
        <v>144</v>
      </c>
      <c r="G21" s="41" t="s">
        <v>428</v>
      </c>
      <c r="H21" s="64" t="s">
        <v>241</v>
      </c>
      <c r="I21" t="s">
        <v>376</v>
      </c>
      <c r="J21" t="s">
        <v>377</v>
      </c>
      <c r="N21" s="41" t="s">
        <v>498</v>
      </c>
    </row>
    <row r="22" spans="1:14" x14ac:dyDescent="0.3">
      <c r="A22" s="41" t="s">
        <v>670</v>
      </c>
      <c r="C22" s="165" t="s">
        <v>493</v>
      </c>
      <c r="D22" s="81"/>
      <c r="H22" s="64" t="s">
        <v>242</v>
      </c>
      <c r="I22" t="s">
        <v>378</v>
      </c>
      <c r="J22" t="s">
        <v>379</v>
      </c>
    </row>
    <row r="23" spans="1:14" x14ac:dyDescent="0.3">
      <c r="A23" s="41" t="s">
        <v>144</v>
      </c>
      <c r="C23" s="41" t="s">
        <v>334</v>
      </c>
      <c r="D23" s="81"/>
      <c r="H23" s="64" t="s">
        <v>243</v>
      </c>
      <c r="I23" t="s">
        <v>380</v>
      </c>
      <c r="J23" t="s">
        <v>381</v>
      </c>
    </row>
    <row r="24" spans="1:14" x14ac:dyDescent="0.3">
      <c r="C24" s="41" t="s">
        <v>487</v>
      </c>
      <c r="H24" s="64" t="s">
        <v>244</v>
      </c>
      <c r="I24" t="s">
        <v>382</v>
      </c>
      <c r="J24" t="s">
        <v>383</v>
      </c>
    </row>
    <row r="25" spans="1:14" x14ac:dyDescent="0.3">
      <c r="C25" s="41" t="s">
        <v>488</v>
      </c>
      <c r="H25" s="64" t="s">
        <v>245</v>
      </c>
      <c r="I25" t="s">
        <v>384</v>
      </c>
      <c r="J25" t="s">
        <v>385</v>
      </c>
    </row>
    <row r="26" spans="1:14" x14ac:dyDescent="0.3">
      <c r="C26" s="41" t="s">
        <v>144</v>
      </c>
      <c r="H26" s="64" t="s">
        <v>246</v>
      </c>
      <c r="I26" t="s">
        <v>386</v>
      </c>
      <c r="J26" t="s">
        <v>387</v>
      </c>
    </row>
    <row r="27" spans="1:14" x14ac:dyDescent="0.3">
      <c r="H27" s="64" t="s">
        <v>247</v>
      </c>
      <c r="I27" t="s">
        <v>388</v>
      </c>
      <c r="J27" t="s">
        <v>389</v>
      </c>
    </row>
    <row r="28" spans="1:14" x14ac:dyDescent="0.3">
      <c r="H28" s="64" t="s">
        <v>248</v>
      </c>
      <c r="I28" t="s">
        <v>390</v>
      </c>
      <c r="J28" t="s">
        <v>391</v>
      </c>
    </row>
    <row r="29" spans="1:14" x14ac:dyDescent="0.3">
      <c r="H29" s="64" t="s">
        <v>249</v>
      </c>
      <c r="I29" t="s">
        <v>392</v>
      </c>
      <c r="J29" t="s">
        <v>393</v>
      </c>
    </row>
    <row r="30" spans="1:14" x14ac:dyDescent="0.3">
      <c r="H30" s="97" t="s">
        <v>317</v>
      </c>
      <c r="I30" t="s">
        <v>394</v>
      </c>
      <c r="J30" t="s">
        <v>395</v>
      </c>
    </row>
    <row r="31" spans="1:14" x14ac:dyDescent="0.3">
      <c r="H31" s="97" t="s">
        <v>533</v>
      </c>
      <c r="I31" t="s">
        <v>396</v>
      </c>
      <c r="J31" t="s">
        <v>397</v>
      </c>
    </row>
    <row r="32" spans="1:14" x14ac:dyDescent="0.3">
      <c r="H32" s="97" t="s">
        <v>534</v>
      </c>
      <c r="I32" t="s">
        <v>398</v>
      </c>
      <c r="J32" t="s">
        <v>399</v>
      </c>
    </row>
    <row r="33" spans="8:10" x14ac:dyDescent="0.3">
      <c r="H33" s="97" t="s">
        <v>535</v>
      </c>
      <c r="I33" t="s">
        <v>400</v>
      </c>
      <c r="J33" t="s">
        <v>401</v>
      </c>
    </row>
    <row r="34" spans="8:10" x14ac:dyDescent="0.3">
      <c r="H34" s="97" t="s">
        <v>677</v>
      </c>
      <c r="I34" t="s">
        <v>402</v>
      </c>
      <c r="J34" t="s">
        <v>403</v>
      </c>
    </row>
    <row r="35" spans="8:10" x14ac:dyDescent="0.3">
      <c r="H35" s="97" t="s">
        <v>685</v>
      </c>
      <c r="I35" t="s">
        <v>404</v>
      </c>
      <c r="J35" t="s">
        <v>405</v>
      </c>
    </row>
    <row r="36" spans="8:10" x14ac:dyDescent="0.3">
      <c r="H36" s="97" t="s">
        <v>691</v>
      </c>
      <c r="I36" t="s">
        <v>406</v>
      </c>
      <c r="J36" t="s">
        <v>407</v>
      </c>
    </row>
    <row r="37" spans="8:10" x14ac:dyDescent="0.3">
      <c r="H37" s="64" t="s">
        <v>144</v>
      </c>
      <c r="I37" t="s">
        <v>408</v>
      </c>
      <c r="J37" t="s">
        <v>409</v>
      </c>
    </row>
    <row r="38" spans="8:10" x14ac:dyDescent="0.3">
      <c r="I38" t="s">
        <v>410</v>
      </c>
      <c r="J38" t="s">
        <v>411</v>
      </c>
    </row>
    <row r="39" spans="8:10" x14ac:dyDescent="0.3">
      <c r="I39" t="s">
        <v>412</v>
      </c>
      <c r="J39" t="s">
        <v>413</v>
      </c>
    </row>
    <row r="40" spans="8:10" x14ac:dyDescent="0.3">
      <c r="I40" t="s">
        <v>414</v>
      </c>
      <c r="J40" t="s">
        <v>415</v>
      </c>
    </row>
    <row r="41" spans="8:10" x14ac:dyDescent="0.3">
      <c r="I41" t="s">
        <v>416</v>
      </c>
      <c r="J41" t="s">
        <v>417</v>
      </c>
    </row>
    <row r="42" spans="8:10" x14ac:dyDescent="0.3">
      <c r="I42" t="s">
        <v>418</v>
      </c>
      <c r="J42" t="s">
        <v>419</v>
      </c>
    </row>
    <row r="43" spans="8:10" x14ac:dyDescent="0.3">
      <c r="I43" t="s">
        <v>420</v>
      </c>
      <c r="J43" t="s">
        <v>421</v>
      </c>
    </row>
    <row r="44" spans="8:10" x14ac:dyDescent="0.3">
      <c r="I44"/>
      <c r="J44" t="s">
        <v>422</v>
      </c>
    </row>
  </sheetData>
  <phoneticPr fontId="22"/>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D2631-DC66-4AC6-A3EE-A711C40203C3}">
  <sheetPr codeName="Sheet12"/>
  <dimension ref="B1:D57"/>
  <sheetViews>
    <sheetView zoomScale="70" zoomScaleNormal="70" workbookViewId="0">
      <selection activeCell="G5" sqref="G5"/>
    </sheetView>
  </sheetViews>
  <sheetFormatPr defaultColWidth="8.81640625" defaultRowHeight="30" customHeight="1" x14ac:dyDescent="0.3"/>
  <cols>
    <col min="1" max="1" width="4.26953125" style="94" customWidth="1"/>
    <col min="2" max="2" width="6.1796875" style="95" customWidth="1"/>
    <col min="3" max="3" width="34.6328125" style="94" bestFit="1" customWidth="1"/>
    <col min="4" max="4" width="8.26953125" style="96" bestFit="1" customWidth="1"/>
    <col min="5" max="16384" width="8.81640625" style="94"/>
  </cols>
  <sheetData>
    <row r="1" spans="2:4" ht="20.399999999999999" customHeight="1" x14ac:dyDescent="0.3"/>
    <row r="2" spans="2:4" ht="30" customHeight="1" x14ac:dyDescent="0.3">
      <c r="B2" s="353" t="s">
        <v>256</v>
      </c>
      <c r="C2" s="350" t="s">
        <v>257</v>
      </c>
      <c r="D2" s="350" t="s">
        <v>258</v>
      </c>
    </row>
    <row r="3" spans="2:4" ht="30" customHeight="1" x14ac:dyDescent="0.3">
      <c r="B3" s="352">
        <v>3101</v>
      </c>
      <c r="C3" s="351" t="s">
        <v>284</v>
      </c>
      <c r="D3" s="354" t="s">
        <v>265</v>
      </c>
    </row>
    <row r="4" spans="2:4" ht="30" customHeight="1" x14ac:dyDescent="0.3">
      <c r="B4" s="352">
        <v>2502</v>
      </c>
      <c r="C4" s="351" t="s">
        <v>274</v>
      </c>
      <c r="D4" s="354" t="s">
        <v>265</v>
      </c>
    </row>
    <row r="5" spans="2:4" ht="30" customHeight="1" x14ac:dyDescent="0.3">
      <c r="B5" s="352">
        <v>701</v>
      </c>
      <c r="C5" s="351" t="s">
        <v>264</v>
      </c>
      <c r="D5" s="354" t="s">
        <v>265</v>
      </c>
    </row>
    <row r="6" spans="2:4" ht="30" customHeight="1" x14ac:dyDescent="0.3">
      <c r="B6" s="352">
        <v>104</v>
      </c>
      <c r="C6" s="351" t="s">
        <v>259</v>
      </c>
      <c r="D6" s="354" t="s">
        <v>253</v>
      </c>
    </row>
    <row r="7" spans="2:4" ht="30" customHeight="1" x14ac:dyDescent="0.3">
      <c r="B7" s="352">
        <v>106</v>
      </c>
      <c r="C7" s="351" t="s">
        <v>260</v>
      </c>
      <c r="D7" s="354" t="s">
        <v>253</v>
      </c>
    </row>
    <row r="8" spans="2:4" ht="30" customHeight="1" x14ac:dyDescent="0.3">
      <c r="B8" s="352">
        <v>702</v>
      </c>
      <c r="C8" s="351" t="s">
        <v>266</v>
      </c>
      <c r="D8" s="354" t="s">
        <v>253</v>
      </c>
    </row>
    <row r="9" spans="2:4" ht="30" customHeight="1" x14ac:dyDescent="0.3">
      <c r="B9" s="352">
        <v>5101</v>
      </c>
      <c r="C9" s="351" t="s">
        <v>303</v>
      </c>
      <c r="D9" s="354" t="s">
        <v>299</v>
      </c>
    </row>
    <row r="10" spans="2:4" ht="30" customHeight="1" x14ac:dyDescent="0.3">
      <c r="B10" s="352">
        <v>5102</v>
      </c>
      <c r="C10" s="351" t="s">
        <v>304</v>
      </c>
      <c r="D10" s="354" t="s">
        <v>299</v>
      </c>
    </row>
    <row r="11" spans="2:4" ht="30" customHeight="1" x14ac:dyDescent="0.3">
      <c r="B11" s="352">
        <v>5001</v>
      </c>
      <c r="C11" s="351" t="s">
        <v>298</v>
      </c>
      <c r="D11" s="354" t="s">
        <v>299</v>
      </c>
    </row>
    <row r="12" spans="2:4" ht="30" customHeight="1" x14ac:dyDescent="0.3">
      <c r="B12" s="352">
        <v>5004</v>
      </c>
      <c r="C12" s="351" t="s">
        <v>302</v>
      </c>
      <c r="D12" s="354" t="s">
        <v>299</v>
      </c>
    </row>
    <row r="13" spans="2:4" ht="30" customHeight="1" x14ac:dyDescent="0.3">
      <c r="B13" s="352">
        <v>2701</v>
      </c>
      <c r="C13" s="351" t="s">
        <v>279</v>
      </c>
      <c r="D13" s="354" t="s">
        <v>272</v>
      </c>
    </row>
    <row r="14" spans="2:4" ht="30" customHeight="1" x14ac:dyDescent="0.3">
      <c r="B14" s="352">
        <v>2703</v>
      </c>
      <c r="C14" s="351" t="s">
        <v>281</v>
      </c>
      <c r="D14" s="354" t="s">
        <v>272</v>
      </c>
    </row>
    <row r="15" spans="2:4" ht="30" customHeight="1" x14ac:dyDescent="0.3">
      <c r="B15" s="352">
        <v>2705</v>
      </c>
      <c r="C15" s="351" t="s">
        <v>283</v>
      </c>
      <c r="D15" s="354" t="s">
        <v>272</v>
      </c>
    </row>
    <row r="16" spans="2:4" ht="30" customHeight="1" x14ac:dyDescent="0.3">
      <c r="B16" s="352">
        <v>1801</v>
      </c>
      <c r="C16" s="351" t="s">
        <v>271</v>
      </c>
      <c r="D16" s="354" t="s">
        <v>272</v>
      </c>
    </row>
    <row r="17" spans="2:4" ht="30" customHeight="1" x14ac:dyDescent="0.3">
      <c r="B17" s="352">
        <v>9601</v>
      </c>
      <c r="C17" s="351" t="s">
        <v>314</v>
      </c>
      <c r="D17" s="354" t="s">
        <v>272</v>
      </c>
    </row>
    <row r="18" spans="2:4" ht="30" customHeight="1" x14ac:dyDescent="0.3">
      <c r="B18" s="352">
        <v>2601</v>
      </c>
      <c r="C18" s="351" t="s">
        <v>278</v>
      </c>
      <c r="D18" s="354" t="s">
        <v>272</v>
      </c>
    </row>
    <row r="19" spans="2:4" ht="30" customHeight="1" x14ac:dyDescent="0.3">
      <c r="B19" s="352">
        <v>2504</v>
      </c>
      <c r="C19" s="351" t="s">
        <v>277</v>
      </c>
      <c r="D19" s="354" t="s">
        <v>272</v>
      </c>
    </row>
    <row r="20" spans="2:4" ht="30" customHeight="1" x14ac:dyDescent="0.3">
      <c r="B20" s="352">
        <v>3301</v>
      </c>
      <c r="C20" s="351" t="s">
        <v>286</v>
      </c>
      <c r="D20" s="354" t="s">
        <v>272</v>
      </c>
    </row>
    <row r="21" spans="2:4" ht="30" customHeight="1" x14ac:dyDescent="0.3">
      <c r="B21" s="352">
        <v>3302</v>
      </c>
      <c r="C21" s="351" t="s">
        <v>287</v>
      </c>
      <c r="D21" s="354" t="s">
        <v>272</v>
      </c>
    </row>
    <row r="22" spans="2:4" ht="30" customHeight="1" x14ac:dyDescent="0.3">
      <c r="B22" s="352">
        <v>2301</v>
      </c>
      <c r="C22" s="351" t="s">
        <v>273</v>
      </c>
      <c r="D22" s="354" t="s">
        <v>272</v>
      </c>
    </row>
    <row r="23" spans="2:4" ht="30" customHeight="1" x14ac:dyDescent="0.3">
      <c r="B23" s="352">
        <v>3303</v>
      </c>
      <c r="C23" s="351" t="s">
        <v>288</v>
      </c>
      <c r="D23" s="354" t="s">
        <v>272</v>
      </c>
    </row>
    <row r="24" spans="2:4" ht="30" customHeight="1" x14ac:dyDescent="0.3">
      <c r="B24" s="352">
        <v>5301</v>
      </c>
      <c r="C24" s="351" t="s">
        <v>312</v>
      </c>
      <c r="D24" s="354" t="s">
        <v>272</v>
      </c>
    </row>
    <row r="25" spans="2:4" ht="30" customHeight="1" x14ac:dyDescent="0.3">
      <c r="B25" s="352">
        <v>3401</v>
      </c>
      <c r="C25" s="351" t="s">
        <v>289</v>
      </c>
      <c r="D25" s="354" t="s">
        <v>272</v>
      </c>
    </row>
    <row r="26" spans="2:4" ht="30" customHeight="1" x14ac:dyDescent="0.3">
      <c r="B26" s="352">
        <v>3501</v>
      </c>
      <c r="C26" s="351" t="s">
        <v>290</v>
      </c>
      <c r="D26" s="354" t="s">
        <v>272</v>
      </c>
    </row>
    <row r="27" spans="2:4" ht="30" customHeight="1" x14ac:dyDescent="0.3">
      <c r="B27" s="352">
        <v>9901</v>
      </c>
      <c r="C27" s="351" t="s">
        <v>316</v>
      </c>
      <c r="D27" s="354" t="s">
        <v>272</v>
      </c>
    </row>
    <row r="28" spans="2:4" ht="30" customHeight="1" x14ac:dyDescent="0.3">
      <c r="B28" s="352">
        <v>5401</v>
      </c>
      <c r="C28" s="351" t="s">
        <v>313</v>
      </c>
      <c r="D28" s="354" t="s">
        <v>255</v>
      </c>
    </row>
    <row r="29" spans="2:4" ht="30" customHeight="1" x14ac:dyDescent="0.3">
      <c r="B29" s="352">
        <v>601</v>
      </c>
      <c r="C29" s="351" t="s">
        <v>262</v>
      </c>
      <c r="D29" s="354" t="s">
        <v>254</v>
      </c>
    </row>
    <row r="30" spans="2:4" ht="30" customHeight="1" x14ac:dyDescent="0.3">
      <c r="B30" s="352">
        <v>602</v>
      </c>
      <c r="C30" s="351" t="s">
        <v>263</v>
      </c>
      <c r="D30" s="354" t="s">
        <v>254</v>
      </c>
    </row>
    <row r="31" spans="2:4" ht="30" customHeight="1" x14ac:dyDescent="0.3">
      <c r="B31" s="352">
        <v>1301</v>
      </c>
      <c r="C31" s="351" t="s">
        <v>269</v>
      </c>
      <c r="D31" s="354" t="s">
        <v>254</v>
      </c>
    </row>
    <row r="32" spans="2:4" ht="30" customHeight="1" x14ac:dyDescent="0.3">
      <c r="B32" s="352">
        <v>1302</v>
      </c>
      <c r="C32" s="351" t="s">
        <v>270</v>
      </c>
      <c r="D32" s="354" t="s">
        <v>254</v>
      </c>
    </row>
    <row r="33" spans="2:4" ht="30" customHeight="1" x14ac:dyDescent="0.3">
      <c r="B33" s="352">
        <v>3201</v>
      </c>
      <c r="C33" s="351" t="s">
        <v>285</v>
      </c>
      <c r="D33" s="354" t="s">
        <v>254</v>
      </c>
    </row>
    <row r="34" spans="2:4" ht="30" customHeight="1" x14ac:dyDescent="0.3">
      <c r="B34" s="352">
        <v>2503</v>
      </c>
      <c r="C34" s="351" t="s">
        <v>275</v>
      </c>
      <c r="D34" s="354" t="s">
        <v>276</v>
      </c>
    </row>
    <row r="35" spans="2:4" ht="30" customHeight="1" x14ac:dyDescent="0.3">
      <c r="B35" s="352">
        <v>4101</v>
      </c>
      <c r="C35" s="351" t="s">
        <v>291</v>
      </c>
      <c r="D35" s="354" t="s">
        <v>276</v>
      </c>
    </row>
    <row r="36" spans="2:4" ht="30" customHeight="1" x14ac:dyDescent="0.3">
      <c r="B36" s="352">
        <v>4102</v>
      </c>
      <c r="C36" s="351" t="s">
        <v>292</v>
      </c>
      <c r="D36" s="354" t="s">
        <v>276</v>
      </c>
    </row>
    <row r="37" spans="2:4" ht="30" customHeight="1" x14ac:dyDescent="0.3">
      <c r="B37" s="352">
        <v>4803</v>
      </c>
      <c r="C37" s="351" t="s">
        <v>297</v>
      </c>
      <c r="D37" s="354" t="s">
        <v>268</v>
      </c>
    </row>
    <row r="38" spans="2:4" ht="30" customHeight="1" x14ac:dyDescent="0.3">
      <c r="B38" s="352">
        <v>901</v>
      </c>
      <c r="C38" s="351" t="s">
        <v>267</v>
      </c>
      <c r="D38" s="354" t="s">
        <v>268</v>
      </c>
    </row>
    <row r="39" spans="2:4" ht="30" customHeight="1" x14ac:dyDescent="0.3">
      <c r="B39" s="352">
        <v>4501</v>
      </c>
      <c r="C39" s="351" t="s">
        <v>294</v>
      </c>
      <c r="D39" s="354" t="s">
        <v>268</v>
      </c>
    </row>
    <row r="40" spans="2:4" ht="30" customHeight="1" x14ac:dyDescent="0.3">
      <c r="B40" s="352">
        <v>4701</v>
      </c>
      <c r="C40" s="351" t="s">
        <v>295</v>
      </c>
      <c r="D40" s="354" t="s">
        <v>268</v>
      </c>
    </row>
    <row r="41" spans="2:4" ht="30" customHeight="1" x14ac:dyDescent="0.3">
      <c r="B41" s="352">
        <v>201</v>
      </c>
      <c r="C41" s="351" t="s">
        <v>235</v>
      </c>
      <c r="D41" s="354" t="s">
        <v>261</v>
      </c>
    </row>
    <row r="42" spans="2:4" ht="30" customHeight="1" x14ac:dyDescent="0.3">
      <c r="B42" s="352">
        <v>4801</v>
      </c>
      <c r="C42" s="351" t="s">
        <v>296</v>
      </c>
      <c r="D42" s="354" t="s">
        <v>443</v>
      </c>
    </row>
    <row r="43" spans="2:4" ht="30" customHeight="1" x14ac:dyDescent="0.3">
      <c r="B43" s="352">
        <v>2401</v>
      </c>
      <c r="C43" s="351" t="s">
        <v>236</v>
      </c>
      <c r="D43" s="354" t="s">
        <v>443</v>
      </c>
    </row>
    <row r="44" spans="2:4" ht="30" customHeight="1" x14ac:dyDescent="0.3">
      <c r="B44" s="352"/>
      <c r="C44" s="351" t="s">
        <v>686</v>
      </c>
      <c r="D44" s="354" t="s">
        <v>443</v>
      </c>
    </row>
    <row r="45" spans="2:4" ht="30" customHeight="1" x14ac:dyDescent="0.3">
      <c r="B45" s="352">
        <v>4401</v>
      </c>
      <c r="C45" s="351" t="s">
        <v>293</v>
      </c>
      <c r="D45" s="354"/>
    </row>
    <row r="46" spans="2:4" ht="30" customHeight="1" x14ac:dyDescent="0.3">
      <c r="B46" s="352">
        <v>5201</v>
      </c>
      <c r="C46" s="351" t="s">
        <v>307</v>
      </c>
      <c r="D46" s="354"/>
    </row>
    <row r="47" spans="2:4" ht="30" customHeight="1" x14ac:dyDescent="0.3">
      <c r="B47" s="352">
        <v>5202</v>
      </c>
      <c r="C47" s="351" t="s">
        <v>308</v>
      </c>
      <c r="D47" s="354"/>
    </row>
    <row r="48" spans="2:4" ht="30" customHeight="1" x14ac:dyDescent="0.3">
      <c r="B48" s="352">
        <v>5203</v>
      </c>
      <c r="C48" s="351" t="s">
        <v>309</v>
      </c>
      <c r="D48" s="354"/>
    </row>
    <row r="49" spans="2:4" ht="30" customHeight="1" x14ac:dyDescent="0.3">
      <c r="B49" s="352">
        <v>5204</v>
      </c>
      <c r="C49" s="351" t="s">
        <v>310</v>
      </c>
      <c r="D49" s="354"/>
    </row>
    <row r="50" spans="2:4" ht="30" customHeight="1" x14ac:dyDescent="0.3">
      <c r="B50" s="352">
        <v>5205</v>
      </c>
      <c r="C50" s="351" t="s">
        <v>311</v>
      </c>
      <c r="D50" s="354"/>
    </row>
    <row r="51" spans="2:4" ht="30" customHeight="1" x14ac:dyDescent="0.3">
      <c r="B51" s="352">
        <v>2702</v>
      </c>
      <c r="C51" s="351" t="s">
        <v>280</v>
      </c>
      <c r="D51" s="354"/>
    </row>
    <row r="52" spans="2:4" ht="30" customHeight="1" x14ac:dyDescent="0.3">
      <c r="B52" s="352">
        <v>2704</v>
      </c>
      <c r="C52" s="351" t="s">
        <v>282</v>
      </c>
      <c r="D52" s="354"/>
    </row>
    <row r="53" spans="2:4" ht="30" customHeight="1" x14ac:dyDescent="0.3">
      <c r="B53" s="352">
        <v>5103</v>
      </c>
      <c r="C53" s="351" t="s">
        <v>305</v>
      </c>
      <c r="D53" s="354"/>
    </row>
    <row r="54" spans="2:4" ht="30" customHeight="1" x14ac:dyDescent="0.3">
      <c r="B54" s="352">
        <v>5104</v>
      </c>
      <c r="C54" s="351" t="s">
        <v>306</v>
      </c>
      <c r="D54" s="354"/>
    </row>
    <row r="55" spans="2:4" ht="30" customHeight="1" x14ac:dyDescent="0.3">
      <c r="B55" s="352">
        <v>9801</v>
      </c>
      <c r="C55" s="351" t="s">
        <v>315</v>
      </c>
      <c r="D55" s="354"/>
    </row>
    <row r="56" spans="2:4" ht="30" customHeight="1" x14ac:dyDescent="0.3">
      <c r="B56" s="352">
        <v>5002</v>
      </c>
      <c r="C56" s="351" t="s">
        <v>300</v>
      </c>
      <c r="D56" s="354"/>
    </row>
    <row r="57" spans="2:4" ht="30" customHeight="1" x14ac:dyDescent="0.3">
      <c r="B57" s="352">
        <v>5003</v>
      </c>
      <c r="C57" s="351" t="s">
        <v>301</v>
      </c>
      <c r="D57" s="354"/>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B2:K21"/>
  <sheetViews>
    <sheetView zoomScale="85" zoomScaleNormal="85" workbookViewId="0">
      <selection activeCell="K2" sqref="K2:K12"/>
    </sheetView>
  </sheetViews>
  <sheetFormatPr defaultRowHeight="15" x14ac:dyDescent="0.3"/>
  <cols>
    <col min="1" max="1" width="3.6328125" customWidth="1"/>
    <col min="2" max="2" width="38.08984375" bestFit="1" customWidth="1"/>
    <col min="3" max="3" width="0" style="64" hidden="1" customWidth="1"/>
    <col min="4" max="4" width="16.54296875" hidden="1" customWidth="1"/>
    <col min="5" max="6" width="0" hidden="1" customWidth="1"/>
    <col min="7" max="7" width="2.90625" customWidth="1"/>
    <col min="8" max="8" width="41.1796875" customWidth="1"/>
    <col min="9" max="9" width="2.36328125" customWidth="1"/>
    <col min="10" max="10" width="2.453125" customWidth="1"/>
    <col min="11" max="11" width="41.1796875" customWidth="1"/>
  </cols>
  <sheetData>
    <row r="2" spans="2:11" x14ac:dyDescent="0.3">
      <c r="B2" s="63" t="s">
        <v>165</v>
      </c>
      <c r="D2" s="66" t="s">
        <v>123</v>
      </c>
      <c r="H2" s="74" t="s">
        <v>188</v>
      </c>
      <c r="K2" s="73" t="s">
        <v>201</v>
      </c>
    </row>
    <row r="3" spans="2:11" x14ac:dyDescent="0.3">
      <c r="B3" s="50" t="s">
        <v>318</v>
      </c>
      <c r="D3" s="65" t="s">
        <v>98</v>
      </c>
      <c r="H3" s="50" t="s">
        <v>182</v>
      </c>
      <c r="K3" s="50" t="s">
        <v>202</v>
      </c>
    </row>
    <row r="4" spans="2:11" x14ac:dyDescent="0.3">
      <c r="B4" s="50" t="s">
        <v>319</v>
      </c>
      <c r="C4" s="67" t="s">
        <v>162</v>
      </c>
      <c r="D4" s="50" t="s">
        <v>147</v>
      </c>
      <c r="H4" s="50" t="s">
        <v>183</v>
      </c>
      <c r="K4" s="50" t="s">
        <v>203</v>
      </c>
    </row>
    <row r="5" spans="2:11" x14ac:dyDescent="0.3">
      <c r="B5" s="50" t="s">
        <v>320</v>
      </c>
      <c r="C5" s="67" t="s">
        <v>162</v>
      </c>
      <c r="D5" s="50" t="s">
        <v>153</v>
      </c>
      <c r="H5" s="50" t="s">
        <v>184</v>
      </c>
      <c r="K5" s="50" t="s">
        <v>204</v>
      </c>
    </row>
    <row r="6" spans="2:11" x14ac:dyDescent="0.3">
      <c r="B6" s="50" t="s">
        <v>321</v>
      </c>
      <c r="C6" s="67" t="s">
        <v>162</v>
      </c>
      <c r="D6" s="50" t="s">
        <v>155</v>
      </c>
      <c r="H6" s="50" t="s">
        <v>185</v>
      </c>
    </row>
    <row r="7" spans="2:11" x14ac:dyDescent="0.3">
      <c r="B7" s="50" t="s">
        <v>322</v>
      </c>
      <c r="C7" s="67" t="s">
        <v>162</v>
      </c>
      <c r="D7" s="50" t="s">
        <v>156</v>
      </c>
      <c r="H7" s="50" t="s">
        <v>186</v>
      </c>
      <c r="K7" s="73" t="s">
        <v>94</v>
      </c>
    </row>
    <row r="8" spans="2:11" x14ac:dyDescent="0.3">
      <c r="C8" s="67" t="s">
        <v>162</v>
      </c>
      <c r="D8" s="50" t="s">
        <v>157</v>
      </c>
      <c r="K8" s="72" t="s">
        <v>205</v>
      </c>
    </row>
    <row r="9" spans="2:11" x14ac:dyDescent="0.3">
      <c r="B9" s="63" t="s">
        <v>165</v>
      </c>
      <c r="H9" s="74" t="s">
        <v>189</v>
      </c>
      <c r="K9" s="72" t="s">
        <v>206</v>
      </c>
    </row>
    <row r="10" spans="2:11" x14ac:dyDescent="0.3">
      <c r="B10" s="513" t="s">
        <v>166</v>
      </c>
      <c r="C10" s="512" t="s">
        <v>162</v>
      </c>
      <c r="D10" s="65" t="s">
        <v>163</v>
      </c>
      <c r="E10" s="64"/>
      <c r="H10" s="50" t="s">
        <v>190</v>
      </c>
      <c r="K10" s="72" t="s">
        <v>207</v>
      </c>
    </row>
    <row r="11" spans="2:11" ht="15" customHeight="1" x14ac:dyDescent="0.3">
      <c r="B11" s="514"/>
      <c r="C11" s="512"/>
      <c r="D11" t="s">
        <v>148</v>
      </c>
      <c r="H11" s="50" t="s">
        <v>191</v>
      </c>
      <c r="K11" s="75" t="s">
        <v>208</v>
      </c>
    </row>
    <row r="12" spans="2:11" x14ac:dyDescent="0.3">
      <c r="B12" s="514"/>
      <c r="C12" s="512"/>
      <c r="D12" t="s">
        <v>150</v>
      </c>
      <c r="H12" s="50" t="s">
        <v>192</v>
      </c>
      <c r="K12" s="76" t="s">
        <v>209</v>
      </c>
    </row>
    <row r="13" spans="2:11" x14ac:dyDescent="0.3">
      <c r="B13" s="514"/>
      <c r="C13" s="512"/>
      <c r="D13" t="s">
        <v>151</v>
      </c>
      <c r="H13" s="50" t="s">
        <v>193</v>
      </c>
      <c r="K13" s="59"/>
    </row>
    <row r="14" spans="2:11" x14ac:dyDescent="0.3">
      <c r="B14" s="515"/>
      <c r="C14" s="512"/>
      <c r="D14" t="s">
        <v>158</v>
      </c>
      <c r="H14" s="50" t="s">
        <v>194</v>
      </c>
      <c r="K14" s="59"/>
    </row>
    <row r="15" spans="2:11" x14ac:dyDescent="0.3">
      <c r="C15" s="512"/>
      <c r="D15" t="s">
        <v>159</v>
      </c>
      <c r="K15" s="59"/>
    </row>
    <row r="16" spans="2:11" x14ac:dyDescent="0.3">
      <c r="B16" s="63" t="s">
        <v>165</v>
      </c>
      <c r="H16" s="74" t="s">
        <v>195</v>
      </c>
      <c r="K16" s="59"/>
    </row>
    <row r="17" spans="2:11" x14ac:dyDescent="0.3">
      <c r="B17" s="50" t="s">
        <v>168</v>
      </c>
      <c r="D17" s="65" t="s">
        <v>164</v>
      </c>
      <c r="H17" s="50" t="s">
        <v>196</v>
      </c>
      <c r="K17" s="59"/>
    </row>
    <row r="18" spans="2:11" x14ac:dyDescent="0.3">
      <c r="B18" s="50" t="s">
        <v>323</v>
      </c>
      <c r="C18" s="67" t="s">
        <v>162</v>
      </c>
      <c r="D18" t="s">
        <v>149</v>
      </c>
      <c r="H18" s="50" t="s">
        <v>197</v>
      </c>
      <c r="K18" s="59"/>
    </row>
    <row r="19" spans="2:11" x14ac:dyDescent="0.3">
      <c r="B19" s="50" t="s">
        <v>324</v>
      </c>
      <c r="C19" s="67" t="s">
        <v>162</v>
      </c>
      <c r="D19" t="s">
        <v>160</v>
      </c>
      <c r="H19" s="50" t="s">
        <v>198</v>
      </c>
      <c r="K19" s="59"/>
    </row>
    <row r="20" spans="2:11" x14ac:dyDescent="0.3">
      <c r="B20" s="50" t="s">
        <v>325</v>
      </c>
      <c r="C20" s="67" t="s">
        <v>162</v>
      </c>
      <c r="D20" t="s">
        <v>152</v>
      </c>
      <c r="H20" s="50" t="s">
        <v>199</v>
      </c>
      <c r="K20" s="59"/>
    </row>
    <row r="21" spans="2:11" x14ac:dyDescent="0.3">
      <c r="B21" s="50" t="s">
        <v>326</v>
      </c>
      <c r="C21" s="67" t="s">
        <v>162</v>
      </c>
      <c r="D21" t="s">
        <v>161</v>
      </c>
      <c r="H21" s="50" t="s">
        <v>200</v>
      </c>
      <c r="K21" s="59"/>
    </row>
  </sheetData>
  <mergeCells count="2">
    <mergeCell ref="C10:C15"/>
    <mergeCell ref="B10:B14"/>
  </mergeCells>
  <phoneticPr fontId="22"/>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BB190-4F7D-472F-BFCB-D30339E6A57D}">
  <sheetPr codeName="Sheet20"/>
  <dimension ref="B2:N15"/>
  <sheetViews>
    <sheetView zoomScale="85" zoomScaleNormal="85" workbookViewId="0">
      <selection activeCell="N7" sqref="N7"/>
    </sheetView>
  </sheetViews>
  <sheetFormatPr defaultColWidth="8.81640625" defaultRowHeight="15" x14ac:dyDescent="0.3"/>
  <cols>
    <col min="1" max="1" width="2.81640625" style="130" customWidth="1"/>
    <col min="2" max="6" width="8.81640625" style="130"/>
    <col min="7" max="7" width="2.81640625" style="130" customWidth="1"/>
    <col min="8" max="8" width="8.81640625" style="130"/>
    <col min="9" max="11" width="10.6328125" style="130" customWidth="1"/>
    <col min="12" max="12" width="10.453125" style="130" customWidth="1"/>
    <col min="13" max="13" width="23.36328125" style="130" bestFit="1" customWidth="1"/>
    <col min="14" max="14" width="13.1796875" style="130" bestFit="1" customWidth="1"/>
    <col min="15" max="15" width="2.81640625" style="130" customWidth="1"/>
    <col min="16" max="17" width="8.81640625" style="130"/>
    <col min="18" max="18" width="12.81640625" style="130" bestFit="1" customWidth="1"/>
    <col min="19" max="16384" width="8.81640625" style="130"/>
  </cols>
  <sheetData>
    <row r="2" spans="2:14" ht="49.95" customHeight="1" thickBot="1" x14ac:dyDescent="0.35">
      <c r="B2" s="518" t="s">
        <v>450</v>
      </c>
      <c r="C2" s="518"/>
      <c r="D2" s="518"/>
      <c r="E2" s="518"/>
      <c r="F2" s="518"/>
      <c r="H2" s="519" t="s">
        <v>451</v>
      </c>
      <c r="I2" s="519"/>
      <c r="J2" s="519"/>
      <c r="K2" s="519"/>
      <c r="L2" s="519"/>
      <c r="M2" s="519"/>
      <c r="N2" s="519"/>
    </row>
    <row r="3" spans="2:14" ht="49.95" customHeight="1" thickBot="1" x14ac:dyDescent="0.35">
      <c r="B3" s="131" t="s">
        <v>251</v>
      </c>
      <c r="C3" s="132"/>
      <c r="D3" s="132"/>
      <c r="E3" s="132"/>
      <c r="F3" s="133"/>
      <c r="H3" s="134" t="s">
        <v>452</v>
      </c>
      <c r="I3" s="135" t="s">
        <v>453</v>
      </c>
      <c r="J3" s="136" t="s">
        <v>454</v>
      </c>
      <c r="K3" s="136" t="s">
        <v>455</v>
      </c>
      <c r="L3" s="136" t="s">
        <v>456</v>
      </c>
      <c r="M3" s="135" t="s">
        <v>457</v>
      </c>
      <c r="N3" s="135" t="s">
        <v>458</v>
      </c>
    </row>
    <row r="4" spans="2:14" ht="49.95" customHeight="1" thickBot="1" x14ac:dyDescent="0.35">
      <c r="B4" s="137" t="s">
        <v>29</v>
      </c>
      <c r="C4" s="138" t="s">
        <v>459</v>
      </c>
      <c r="D4" s="139" t="s">
        <v>460</v>
      </c>
      <c r="E4" s="140" t="s">
        <v>461</v>
      </c>
      <c r="F4" s="141"/>
      <c r="H4" s="142" t="s">
        <v>461</v>
      </c>
      <c r="I4" s="143" t="s">
        <v>431</v>
      </c>
      <c r="J4" s="143" t="s">
        <v>462</v>
      </c>
      <c r="K4" s="144" t="s">
        <v>463</v>
      </c>
      <c r="L4" s="145" t="s">
        <v>464</v>
      </c>
      <c r="M4" s="144" t="s">
        <v>465</v>
      </c>
      <c r="N4" s="144" t="s">
        <v>466</v>
      </c>
    </row>
    <row r="5" spans="2:14" ht="49.95" customHeight="1" thickBot="1" x14ac:dyDescent="0.35">
      <c r="B5" s="137" t="s">
        <v>36</v>
      </c>
      <c r="C5" s="146" t="s">
        <v>459</v>
      </c>
      <c r="D5" s="147" t="s">
        <v>460</v>
      </c>
      <c r="E5" s="148" t="s">
        <v>460</v>
      </c>
      <c r="F5" s="141"/>
      <c r="H5" s="149" t="s">
        <v>460</v>
      </c>
      <c r="I5" s="143" t="s">
        <v>431</v>
      </c>
      <c r="J5" s="143" t="s">
        <v>462</v>
      </c>
      <c r="K5" s="144" t="s">
        <v>463</v>
      </c>
      <c r="L5" s="145" t="s">
        <v>464</v>
      </c>
      <c r="M5" s="144" t="s">
        <v>467</v>
      </c>
      <c r="N5" s="144" t="s">
        <v>468</v>
      </c>
    </row>
    <row r="6" spans="2:14" ht="49.95" customHeight="1" thickBot="1" x14ac:dyDescent="0.35">
      <c r="B6" s="137" t="s">
        <v>43</v>
      </c>
      <c r="C6" s="150" t="s">
        <v>469</v>
      </c>
      <c r="D6" s="151" t="s">
        <v>469</v>
      </c>
      <c r="E6" s="152" t="s">
        <v>469</v>
      </c>
      <c r="F6" s="141"/>
      <c r="H6" s="153" t="s">
        <v>459</v>
      </c>
      <c r="I6" s="154" t="s">
        <v>470</v>
      </c>
      <c r="J6" s="143" t="s">
        <v>462</v>
      </c>
      <c r="K6" s="144" t="s">
        <v>463</v>
      </c>
      <c r="L6" s="145" t="s">
        <v>464</v>
      </c>
      <c r="M6" s="144" t="s">
        <v>467</v>
      </c>
      <c r="N6" s="144" t="s">
        <v>471</v>
      </c>
    </row>
    <row r="7" spans="2:14" ht="49.95" customHeight="1" thickBot="1" x14ac:dyDescent="0.35">
      <c r="B7" s="155"/>
      <c r="C7" s="156" t="s">
        <v>43</v>
      </c>
      <c r="D7" s="156" t="s">
        <v>36</v>
      </c>
      <c r="E7" s="156" t="s">
        <v>29</v>
      </c>
      <c r="F7" s="157" t="s">
        <v>250</v>
      </c>
      <c r="H7" s="158" t="s">
        <v>469</v>
      </c>
      <c r="I7" s="143" t="s">
        <v>442</v>
      </c>
      <c r="J7" s="143" t="s">
        <v>472</v>
      </c>
      <c r="K7" s="144" t="s">
        <v>473</v>
      </c>
      <c r="L7" s="145" t="s">
        <v>443</v>
      </c>
      <c r="M7" s="159" t="s">
        <v>474</v>
      </c>
      <c r="N7" s="144" t="s">
        <v>508</v>
      </c>
    </row>
    <row r="9" spans="2:14" ht="49.95" customHeight="1" x14ac:dyDescent="0.3">
      <c r="H9" s="519" t="s">
        <v>476</v>
      </c>
      <c r="I9" s="519"/>
      <c r="J9" s="519"/>
      <c r="K9" s="519"/>
      <c r="L9" s="519"/>
      <c r="M9" s="519"/>
      <c r="N9" s="519"/>
    </row>
    <row r="10" spans="2:14" ht="19.95" customHeight="1" x14ac:dyDescent="0.3">
      <c r="H10" s="520" t="s">
        <v>477</v>
      </c>
      <c r="I10" s="520"/>
      <c r="J10" s="520"/>
      <c r="K10" s="520"/>
      <c r="L10" s="520" t="s">
        <v>478</v>
      </c>
      <c r="M10" s="520"/>
      <c r="N10" s="520"/>
    </row>
    <row r="11" spans="2:14" ht="19.95" customHeight="1" x14ac:dyDescent="0.3">
      <c r="H11" s="516" t="s">
        <v>479</v>
      </c>
      <c r="I11" s="516"/>
      <c r="J11" s="516"/>
      <c r="K11" s="516"/>
      <c r="L11" s="516" t="s">
        <v>480</v>
      </c>
      <c r="M11" s="516"/>
      <c r="N11" s="516"/>
    </row>
    <row r="12" spans="2:14" ht="19.95" customHeight="1" x14ac:dyDescent="0.3">
      <c r="H12" s="516" t="s">
        <v>481</v>
      </c>
      <c r="I12" s="516"/>
      <c r="J12" s="516"/>
      <c r="K12" s="516"/>
      <c r="L12" s="516" t="s">
        <v>482</v>
      </c>
      <c r="M12" s="516"/>
      <c r="N12" s="516"/>
    </row>
    <row r="13" spans="2:14" ht="19.95" customHeight="1" x14ac:dyDescent="0.3">
      <c r="H13" s="516" t="s">
        <v>483</v>
      </c>
      <c r="I13" s="516"/>
      <c r="J13" s="516"/>
      <c r="K13" s="516"/>
      <c r="L13" s="516" t="s">
        <v>484</v>
      </c>
      <c r="M13" s="516"/>
      <c r="N13" s="516"/>
    </row>
    <row r="14" spans="2:14" ht="19.95" customHeight="1" x14ac:dyDescent="0.3">
      <c r="H14" s="517" t="s">
        <v>485</v>
      </c>
      <c r="I14" s="517"/>
      <c r="J14" s="517"/>
      <c r="K14" s="517"/>
      <c r="L14" s="517" t="s">
        <v>485</v>
      </c>
      <c r="M14" s="517"/>
      <c r="N14" s="517"/>
    </row>
    <row r="15" spans="2:14" ht="19.95" customHeight="1" x14ac:dyDescent="0.3">
      <c r="H15" s="516" t="s">
        <v>486</v>
      </c>
      <c r="I15" s="516"/>
      <c r="J15" s="516"/>
      <c r="K15" s="516"/>
      <c r="L15" s="516" t="s">
        <v>486</v>
      </c>
      <c r="M15" s="516"/>
      <c r="N15" s="516"/>
    </row>
  </sheetData>
  <mergeCells count="15">
    <mergeCell ref="H11:K11"/>
    <mergeCell ref="L11:N11"/>
    <mergeCell ref="B2:F2"/>
    <mergeCell ref="H2:N2"/>
    <mergeCell ref="H9:N9"/>
    <mergeCell ref="H10:K10"/>
    <mergeCell ref="L10:N10"/>
    <mergeCell ref="H15:K15"/>
    <mergeCell ref="L15:N15"/>
    <mergeCell ref="H12:K12"/>
    <mergeCell ref="L12:N12"/>
    <mergeCell ref="H13:K13"/>
    <mergeCell ref="L13:N13"/>
    <mergeCell ref="H14:K14"/>
    <mergeCell ref="L14:N14"/>
  </mergeCells>
  <phoneticPr fontId="22"/>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U25"/>
  <sheetViews>
    <sheetView topLeftCell="A4" zoomScale="55" zoomScaleNormal="55" workbookViewId="0">
      <selection activeCell="S21" sqref="S21"/>
    </sheetView>
  </sheetViews>
  <sheetFormatPr defaultColWidth="9.08984375" defaultRowHeight="13.2" x14ac:dyDescent="0.3"/>
  <cols>
    <col min="1" max="1" width="9.08984375" style="3"/>
    <col min="2" max="5" width="14.90625" style="2" customWidth="1"/>
    <col min="6" max="6" width="14.90625" style="3" customWidth="1"/>
    <col min="7" max="8" width="13.81640625" style="3" customWidth="1"/>
    <col min="9" max="15" width="9.81640625" style="3" customWidth="1"/>
    <col min="16" max="16" width="10.453125" style="3" customWidth="1"/>
    <col min="17" max="21" width="8.6328125" style="3" customWidth="1"/>
    <col min="22" max="16384" width="9.08984375" style="3"/>
  </cols>
  <sheetData>
    <row r="1" spans="1:21" ht="25.8" x14ac:dyDescent="0.3">
      <c r="A1" s="1" t="s">
        <v>9</v>
      </c>
    </row>
    <row r="2" spans="1:21" ht="19.5" customHeight="1" x14ac:dyDescent="0.3">
      <c r="A2" s="1"/>
    </row>
    <row r="3" spans="1:21" ht="19.5" customHeight="1" x14ac:dyDescent="0.3">
      <c r="A3" s="1"/>
    </row>
    <row r="4" spans="1:21" ht="18" customHeight="1" x14ac:dyDescent="0.3">
      <c r="B4" s="543" t="s">
        <v>10</v>
      </c>
      <c r="C4" s="543"/>
      <c r="D4" s="543"/>
      <c r="E4" s="543"/>
      <c r="F4" s="543"/>
      <c r="I4" s="542" t="s">
        <v>11</v>
      </c>
      <c r="J4" s="542"/>
      <c r="K4" s="542"/>
      <c r="L4" s="542"/>
      <c r="M4" s="542"/>
      <c r="N4" s="542"/>
      <c r="O4" s="4"/>
    </row>
    <row r="5" spans="1:21" ht="18.600000000000001" customHeight="1" thickBot="1" x14ac:dyDescent="0.35">
      <c r="B5" s="544"/>
      <c r="C5" s="544"/>
      <c r="D5" s="544"/>
      <c r="E5" s="544"/>
      <c r="F5" s="544"/>
      <c r="I5" s="542"/>
      <c r="J5" s="542"/>
      <c r="K5" s="542"/>
      <c r="L5" s="542"/>
      <c r="M5" s="542"/>
      <c r="N5" s="542"/>
      <c r="O5" s="4"/>
    </row>
    <row r="6" spans="1:21" ht="24.6" customHeight="1" x14ac:dyDescent="0.3">
      <c r="A6" s="545" t="s">
        <v>12</v>
      </c>
      <c r="B6" s="547" t="s">
        <v>13</v>
      </c>
      <c r="C6" s="548"/>
      <c r="D6" s="548"/>
      <c r="E6" s="549"/>
      <c r="F6" s="550" t="s">
        <v>14</v>
      </c>
      <c r="G6" s="551"/>
      <c r="J6" s="5"/>
      <c r="K6" s="5"/>
      <c r="L6" s="5"/>
      <c r="M6" s="5"/>
      <c r="N6" s="5"/>
    </row>
    <row r="7" spans="1:21" ht="18.600000000000001" customHeight="1" thickBot="1" x14ac:dyDescent="0.35">
      <c r="A7" s="546"/>
      <c r="B7" s="6" t="s">
        <v>5</v>
      </c>
      <c r="C7" s="7" t="s">
        <v>6</v>
      </c>
      <c r="D7" s="7" t="s">
        <v>7</v>
      </c>
      <c r="E7" s="8" t="s">
        <v>8</v>
      </c>
      <c r="F7" s="552"/>
      <c r="G7" s="553"/>
      <c r="I7" s="5" t="s">
        <v>15</v>
      </c>
    </row>
    <row r="8" spans="1:21" ht="56.1" customHeight="1" x14ac:dyDescent="0.3">
      <c r="A8" s="9">
        <v>1</v>
      </c>
      <c r="B8" s="10" t="s">
        <v>16</v>
      </c>
      <c r="C8" s="11" t="s">
        <v>17</v>
      </c>
      <c r="D8" s="11" t="s">
        <v>18</v>
      </c>
      <c r="E8" s="12" t="s">
        <v>19</v>
      </c>
      <c r="F8" s="13" t="s">
        <v>20</v>
      </c>
      <c r="G8" s="14" t="s">
        <v>21</v>
      </c>
      <c r="I8" s="15">
        <v>5</v>
      </c>
      <c r="J8" s="16" t="s">
        <v>22</v>
      </c>
      <c r="K8" s="16" t="s">
        <v>22</v>
      </c>
      <c r="L8" s="16" t="s">
        <v>22</v>
      </c>
      <c r="M8" s="16" t="s">
        <v>22</v>
      </c>
      <c r="N8" s="16" t="s">
        <v>22</v>
      </c>
      <c r="O8" s="17"/>
      <c r="Q8" s="83" t="s">
        <v>250</v>
      </c>
      <c r="R8" s="84"/>
      <c r="S8" s="84"/>
      <c r="T8" s="84"/>
      <c r="U8" s="85"/>
    </row>
    <row r="9" spans="1:21" ht="56.1" customHeight="1" x14ac:dyDescent="0.3">
      <c r="A9" s="9">
        <v>2</v>
      </c>
      <c r="B9" s="10" t="s">
        <v>23</v>
      </c>
      <c r="C9" s="11" t="s">
        <v>24</v>
      </c>
      <c r="D9" s="11" t="s">
        <v>25</v>
      </c>
      <c r="E9" s="12" t="s">
        <v>26</v>
      </c>
      <c r="F9" s="18" t="s">
        <v>27</v>
      </c>
      <c r="G9" s="12" t="s">
        <v>28</v>
      </c>
      <c r="I9" s="15">
        <v>4</v>
      </c>
      <c r="J9" s="19" t="s">
        <v>29</v>
      </c>
      <c r="K9" s="19" t="s">
        <v>29</v>
      </c>
      <c r="L9" s="16" t="s">
        <v>22</v>
      </c>
      <c r="M9" s="16" t="s">
        <v>22</v>
      </c>
      <c r="N9" s="16" t="s">
        <v>22</v>
      </c>
      <c r="O9" s="17"/>
      <c r="Q9" s="86" t="s">
        <v>29</v>
      </c>
      <c r="R9" s="82"/>
      <c r="S9" s="87"/>
      <c r="T9" s="88"/>
      <c r="U9" s="89"/>
    </row>
    <row r="10" spans="1:21" ht="56.1" customHeight="1" x14ac:dyDescent="0.3">
      <c r="A10" s="9">
        <v>3</v>
      </c>
      <c r="B10" s="10" t="s">
        <v>30</v>
      </c>
      <c r="C10" s="11" t="s">
        <v>31</v>
      </c>
      <c r="D10" s="11" t="s">
        <v>32</v>
      </c>
      <c r="E10" s="12" t="s">
        <v>33</v>
      </c>
      <c r="F10" s="18" t="s">
        <v>34</v>
      </c>
      <c r="G10" s="12" t="s">
        <v>35</v>
      </c>
      <c r="I10" s="15">
        <v>3</v>
      </c>
      <c r="J10" s="20" t="s">
        <v>36</v>
      </c>
      <c r="K10" s="20" t="s">
        <v>36</v>
      </c>
      <c r="L10" s="19" t="s">
        <v>29</v>
      </c>
      <c r="M10" s="19" t="s">
        <v>29</v>
      </c>
      <c r="N10" s="16" t="s">
        <v>22</v>
      </c>
      <c r="O10" s="17"/>
      <c r="Q10" s="86" t="s">
        <v>36</v>
      </c>
      <c r="R10" s="82"/>
      <c r="S10" s="87"/>
      <c r="T10" s="87"/>
      <c r="U10" s="89"/>
    </row>
    <row r="11" spans="1:21" ht="56.1" customHeight="1" x14ac:dyDescent="0.3">
      <c r="A11" s="9">
        <v>4</v>
      </c>
      <c r="B11" s="10" t="s">
        <v>37</v>
      </c>
      <c r="C11" s="11" t="s">
        <v>38</v>
      </c>
      <c r="D11" s="11" t="s">
        <v>39</v>
      </c>
      <c r="E11" s="12" t="s">
        <v>40</v>
      </c>
      <c r="F11" s="18" t="s">
        <v>41</v>
      </c>
      <c r="G11" s="12" t="s">
        <v>42</v>
      </c>
      <c r="I11" s="15">
        <v>2</v>
      </c>
      <c r="J11" s="21" t="s">
        <v>43</v>
      </c>
      <c r="K11" s="21" t="s">
        <v>43</v>
      </c>
      <c r="L11" s="20" t="s">
        <v>36</v>
      </c>
      <c r="M11" s="19" t="s">
        <v>29</v>
      </c>
      <c r="N11" s="19" t="s">
        <v>29</v>
      </c>
      <c r="O11" s="17"/>
      <c r="Q11" s="86" t="s">
        <v>43</v>
      </c>
      <c r="R11" s="82"/>
      <c r="S11" s="82"/>
      <c r="T11" s="82"/>
      <c r="U11" s="89"/>
    </row>
    <row r="12" spans="1:21" ht="56.1" customHeight="1" thickBot="1" x14ac:dyDescent="0.35">
      <c r="A12" s="22">
        <v>5</v>
      </c>
      <c r="B12" s="23" t="s">
        <v>44</v>
      </c>
      <c r="C12" s="24" t="s">
        <v>45</v>
      </c>
      <c r="D12" s="24" t="s">
        <v>46</v>
      </c>
      <c r="E12" s="25" t="s">
        <v>47</v>
      </c>
      <c r="F12" s="26" t="s">
        <v>48</v>
      </c>
      <c r="G12" s="25" t="s">
        <v>49</v>
      </c>
      <c r="I12" s="15">
        <v>1</v>
      </c>
      <c r="J12" s="21" t="s">
        <v>43</v>
      </c>
      <c r="K12" s="21" t="s">
        <v>43</v>
      </c>
      <c r="L12" s="21" t="s">
        <v>43</v>
      </c>
      <c r="M12" s="20" t="s">
        <v>36</v>
      </c>
      <c r="N12" s="19" t="s">
        <v>29</v>
      </c>
      <c r="O12" s="17"/>
      <c r="Q12" s="90"/>
      <c r="R12" s="91" t="s">
        <v>43</v>
      </c>
      <c r="S12" s="91" t="s">
        <v>36</v>
      </c>
      <c r="T12" s="91" t="s">
        <v>29</v>
      </c>
      <c r="U12" s="92" t="s">
        <v>251</v>
      </c>
    </row>
    <row r="13" spans="1:21" ht="31.5" customHeight="1" x14ac:dyDescent="0.3">
      <c r="J13" s="27">
        <v>1</v>
      </c>
      <c r="K13" s="27">
        <v>2</v>
      </c>
      <c r="L13" s="27">
        <v>3</v>
      </c>
      <c r="M13" s="27">
        <v>4</v>
      </c>
      <c r="N13" s="27">
        <v>5</v>
      </c>
      <c r="O13" s="28" t="s">
        <v>50</v>
      </c>
    </row>
    <row r="16" spans="1:21" ht="55.35" customHeight="1" thickBot="1" x14ac:dyDescent="0.35">
      <c r="B16" s="542" t="s">
        <v>51</v>
      </c>
      <c r="C16" s="542"/>
      <c r="D16" s="542"/>
      <c r="E16" s="542"/>
      <c r="F16" s="542"/>
      <c r="I16" s="542" t="s">
        <v>52</v>
      </c>
      <c r="J16" s="542"/>
      <c r="K16" s="542"/>
      <c r="L16" s="542"/>
      <c r="M16" s="542"/>
      <c r="N16" s="542"/>
    </row>
    <row r="17" spans="1:14" ht="24" thickBot="1" x14ac:dyDescent="0.35">
      <c r="B17" s="3"/>
      <c r="C17" s="535" t="s">
        <v>53</v>
      </c>
      <c r="D17" s="536"/>
      <c r="E17" s="536"/>
      <c r="F17" s="536"/>
      <c r="G17" s="537"/>
      <c r="I17" s="538" t="s">
        <v>54</v>
      </c>
      <c r="J17" s="539"/>
      <c r="K17" s="539" t="s">
        <v>55</v>
      </c>
      <c r="L17" s="539"/>
      <c r="M17" s="539"/>
      <c r="N17" s="540"/>
    </row>
    <row r="18" spans="1:14" ht="53.85" customHeight="1" x14ac:dyDescent="0.3">
      <c r="A18" s="29"/>
      <c r="B18" s="30" t="s">
        <v>22</v>
      </c>
      <c r="C18" s="528" t="s">
        <v>56</v>
      </c>
      <c r="D18" s="529"/>
      <c r="E18" s="529"/>
      <c r="F18" s="529"/>
      <c r="G18" s="530"/>
      <c r="I18" s="531" t="s">
        <v>57</v>
      </c>
      <c r="J18" s="532"/>
      <c r="K18" s="541" t="s">
        <v>58</v>
      </c>
      <c r="L18" s="533"/>
      <c r="M18" s="533"/>
      <c r="N18" s="534"/>
    </row>
    <row r="19" spans="1:14" ht="53.85" customHeight="1" x14ac:dyDescent="0.3">
      <c r="A19" s="31"/>
      <c r="B19" s="32" t="s">
        <v>29</v>
      </c>
      <c r="C19" s="528" t="s">
        <v>59</v>
      </c>
      <c r="D19" s="529"/>
      <c r="E19" s="529"/>
      <c r="F19" s="529"/>
      <c r="G19" s="530"/>
      <c r="I19" s="531" t="s">
        <v>60</v>
      </c>
      <c r="J19" s="532"/>
      <c r="K19" s="533" t="s">
        <v>61</v>
      </c>
      <c r="L19" s="533"/>
      <c r="M19" s="533"/>
      <c r="N19" s="534"/>
    </row>
    <row r="20" spans="1:14" ht="53.85" customHeight="1" x14ac:dyDescent="0.3">
      <c r="A20" s="33"/>
      <c r="B20" s="34" t="s">
        <v>36</v>
      </c>
      <c r="C20" s="528" t="s">
        <v>62</v>
      </c>
      <c r="D20" s="529"/>
      <c r="E20" s="529"/>
      <c r="F20" s="529"/>
      <c r="G20" s="530"/>
      <c r="I20" s="531" t="s">
        <v>63</v>
      </c>
      <c r="J20" s="532"/>
      <c r="K20" s="533" t="s">
        <v>64</v>
      </c>
      <c r="L20" s="533"/>
      <c r="M20" s="533"/>
      <c r="N20" s="534"/>
    </row>
    <row r="21" spans="1:14" ht="53.85" customHeight="1" thickBot="1" x14ac:dyDescent="0.35">
      <c r="A21" s="35"/>
      <c r="B21" s="36" t="s">
        <v>43</v>
      </c>
      <c r="C21" s="521" t="s">
        <v>65</v>
      </c>
      <c r="D21" s="522"/>
      <c r="E21" s="522"/>
      <c r="F21" s="522"/>
      <c r="G21" s="523"/>
      <c r="I21" s="524" t="s">
        <v>66</v>
      </c>
      <c r="J21" s="525"/>
      <c r="K21" s="526" t="s">
        <v>67</v>
      </c>
      <c r="L21" s="526"/>
      <c r="M21" s="526"/>
      <c r="N21" s="527"/>
    </row>
    <row r="22" spans="1:14" x14ac:dyDescent="0.3">
      <c r="B22" s="3"/>
      <c r="C22" s="3"/>
      <c r="D22" s="3"/>
    </row>
    <row r="23" spans="1:14" ht="16.2" x14ac:dyDescent="0.3">
      <c r="B23" s="3"/>
      <c r="C23" s="3"/>
      <c r="D23" s="3"/>
      <c r="F23" s="37"/>
      <c r="G23" s="38"/>
    </row>
    <row r="24" spans="1:14" ht="16.2" x14ac:dyDescent="0.3">
      <c r="B24" s="3"/>
      <c r="C24" s="3"/>
      <c r="D24" s="3"/>
      <c r="F24" s="39"/>
      <c r="G24" s="38"/>
    </row>
    <row r="25" spans="1:14" ht="16.2" x14ac:dyDescent="0.3">
      <c r="B25" s="3"/>
      <c r="C25" s="3"/>
      <c r="D25" s="3"/>
      <c r="F25" s="39"/>
      <c r="G25" s="40"/>
    </row>
  </sheetData>
  <mergeCells count="22">
    <mergeCell ref="B16:F16"/>
    <mergeCell ref="I16:N16"/>
    <mergeCell ref="B4:F5"/>
    <mergeCell ref="I4:N5"/>
    <mergeCell ref="A6:A7"/>
    <mergeCell ref="B6:E6"/>
    <mergeCell ref="F6:G7"/>
    <mergeCell ref="C17:G17"/>
    <mergeCell ref="I17:J17"/>
    <mergeCell ref="K17:N17"/>
    <mergeCell ref="C18:G18"/>
    <mergeCell ref="I18:J18"/>
    <mergeCell ref="K18:N18"/>
    <mergeCell ref="C21:G21"/>
    <mergeCell ref="I21:J21"/>
    <mergeCell ref="K21:N21"/>
    <mergeCell ref="C19:G19"/>
    <mergeCell ref="I19:J19"/>
    <mergeCell ref="K19:N19"/>
    <mergeCell ref="C20:G20"/>
    <mergeCell ref="I20:J20"/>
    <mergeCell ref="K20:N20"/>
  </mergeCells>
  <phoneticPr fontId="22"/>
  <pageMargins left="0.7" right="0.7" top="0.75" bottom="0.75" header="0.3" footer="0.3"/>
  <pageSetup paperSize="9" scale="5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2CA5B4-D0D4-404F-AE54-33D8A76B038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41期グラフ用参照データ</vt:lpstr>
      <vt:lpstr>バイヤー事故情報共有リスト</vt:lpstr>
      <vt:lpstr>事故対応状況集計表</vt:lpstr>
      <vt:lpstr>事故対応状況集計表 (2)</vt:lpstr>
      <vt:lpstr>○月計上事故管理表</vt:lpstr>
      <vt:lpstr>経理室へアクシデント報告</vt:lpstr>
      <vt:lpstr>集積用</vt:lpstr>
      <vt:lpstr>編集用</vt:lpstr>
      <vt:lpstr>リスク評価基準2021</vt:lpstr>
      <vt:lpstr>リスト</vt:lpstr>
      <vt:lpstr>科目テーブル</vt:lpstr>
      <vt:lpstr>影響度判定例</vt:lpstr>
      <vt:lpstr>対応優先度MAP</vt:lpstr>
      <vt:lpstr>リスク評価基準</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01-020-161</dc:creator>
  <cp:lastModifiedBy>11201062　吉橋　章</cp:lastModifiedBy>
  <cp:lastPrinted>2020-05-15T01:58:21Z</cp:lastPrinted>
  <dcterms:created xsi:type="dcterms:W3CDTF">2019-07-10T11:43:47Z</dcterms:created>
  <dcterms:modified xsi:type="dcterms:W3CDTF">2022-06-02T01:35:20Z</dcterms:modified>
</cp:coreProperties>
</file>