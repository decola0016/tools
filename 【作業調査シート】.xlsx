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11201062\Documents\666_【その他】\VBA\管理ツール\"/>
    </mc:Choice>
  </mc:AlternateContent>
  <xr:revisionPtr revIDLastSave="0" documentId="13_ncr:1_{63E2B3E0-9ED2-402D-9EE7-E1D2F2484181}" xr6:coauthVersionLast="36" xr6:coauthVersionMax="36" xr10:uidLastSave="{00000000-0000-0000-0000-000000000000}"/>
  <bookViews>
    <workbookView xWindow="0" yWindow="0" windowWidth="23040" windowHeight="8964" firstSheet="1" activeTab="1" xr2:uid="{F39A91ED-2467-4F10-9D9D-53F00690C390}"/>
  </bookViews>
  <sheets>
    <sheet name="A型登録業務概要" sheetId="9" state="hidden" r:id="rId1"/>
    <sheet name="作業調査シート" sheetId="1" r:id="rId2"/>
    <sheet name="【集計】月間総作業時間" sheetId="11" r:id="rId3"/>
    <sheet name="【集計】月間件数" sheetId="12" r:id="rId4"/>
  </sheets>
  <definedNames>
    <definedName name="ExternalData_1" localSheetId="2" hidden="1">【集計】月間総作業時間!$A$1:$D$25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" i="1" l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C22" i="1" l="1"/>
  <c r="C21" i="1"/>
  <c r="I21" i="1"/>
  <c r="I22" i="1"/>
  <c r="B3" i="1"/>
  <c r="C14" i="1"/>
  <c r="C13" i="1"/>
  <c r="I13" i="1"/>
  <c r="I14" i="1"/>
  <c r="B15" i="12" l="1"/>
  <c r="B24" i="12"/>
  <c r="C3" i="1" l="1"/>
  <c r="C15" i="1" l="1"/>
  <c r="I23" i="1" l="1"/>
  <c r="C23" i="1"/>
  <c r="I16" i="1" l="1"/>
  <c r="C16" i="1"/>
  <c r="I4" i="1"/>
  <c r="C4" i="1"/>
  <c r="C5" i="1" l="1"/>
  <c r="C6" i="1"/>
  <c r="C7" i="1"/>
  <c r="C8" i="1"/>
  <c r="C9" i="1"/>
  <c r="C10" i="1"/>
  <c r="C11" i="1"/>
  <c r="C12" i="1"/>
  <c r="C17" i="1"/>
  <c r="C18" i="1"/>
  <c r="C19" i="1"/>
  <c r="C20" i="1"/>
  <c r="I12" i="1"/>
  <c r="I6" i="1"/>
  <c r="I3" i="1" l="1"/>
  <c r="I5" i="1"/>
  <c r="I7" i="1"/>
  <c r="I8" i="1"/>
  <c r="I9" i="1"/>
  <c r="I10" i="1"/>
  <c r="I11" i="1"/>
  <c r="I15" i="1"/>
  <c r="I17" i="1"/>
  <c r="I18" i="1"/>
  <c r="I19" i="1"/>
  <c r="I20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20A06AE-B1AC-4E2E-9F63-0521C5753483}" keepAlive="1" name="クエリ - テーブル1" description="ブック内の 'テーブル1' クエリへの接続です。" type="5" refreshedVersion="6" background="1" saveData="1">
    <dbPr connection="Provider=Microsoft.Mashup.OleDb.1;Data Source=$Workbook$;Location=テーブル1;Extended Properties=&quot;&quot;" command="SELECT * FROM [テーブル1]"/>
  </connection>
  <connection id="2" xr16:uid="{B4CF5585-3A41-49F2-B312-A053504DEB6E}" keepAlive="1" name="クエリ - テーブル1 (2)" description="ブック内の 'テーブル1 (2)' クエリへの接続です。" type="5" refreshedVersion="6" background="1" saveData="1">
    <dbPr connection="Provider=Microsoft.Mashup.OleDb.1;Data Source=$Workbook$;Location=テーブル1 (2);Extended Properties=&quot;&quot;" command="SELECT * FROM [テーブル1 (2)]"/>
  </connection>
</connections>
</file>

<file path=xl/sharedStrings.xml><?xml version="1.0" encoding="utf-8"?>
<sst xmlns="http://schemas.openxmlformats.org/spreadsheetml/2006/main" count="258" uniqueCount="182">
  <si>
    <t>一次承認</t>
    <phoneticPr fontId="1"/>
  </si>
  <si>
    <t>PIM承認</t>
    <phoneticPr fontId="1"/>
  </si>
  <si>
    <t>二次承認</t>
    <phoneticPr fontId="1"/>
  </si>
  <si>
    <t>新業務ネスクト</t>
    <rPh sb="0" eb="3">
      <t>シンギョウム</t>
    </rPh>
    <phoneticPr fontId="1"/>
  </si>
  <si>
    <t>一次承認</t>
  </si>
  <si>
    <t>共有フォルダへデータ格納</t>
    <phoneticPr fontId="1"/>
  </si>
  <si>
    <t>mmdd_登録依頼</t>
    <phoneticPr fontId="1"/>
  </si>
  <si>
    <t>\\boafs02\本部\商品統合管理室\001-共有\【商品統合管理室】\0000_各種サービスメニュー\20_リベート登録サービス\199_A型\mmdd</t>
    <phoneticPr fontId="1"/>
  </si>
  <si>
    <t>キントーンコメント投稿</t>
    <rPh sb="9" eb="11">
      <t>トウコウ</t>
    </rPh>
    <phoneticPr fontId="1"/>
  </si>
  <si>
    <t>一次承認者設定＞二次承認者設定＞カテゴリ設定＞保存＞一次承認押下</t>
    <rPh sb="0" eb="4">
      <t>イチジショウニン</t>
    </rPh>
    <rPh sb="4" eb="5">
      <t>シャ</t>
    </rPh>
    <rPh sb="5" eb="7">
      <t>セッテイ</t>
    </rPh>
    <rPh sb="8" eb="10">
      <t>２ジ</t>
    </rPh>
    <rPh sb="10" eb="12">
      <t>ショウニン</t>
    </rPh>
    <rPh sb="12" eb="13">
      <t>シャ</t>
    </rPh>
    <rPh sb="13" eb="15">
      <t>セッテイ</t>
    </rPh>
    <rPh sb="20" eb="22">
      <t>セッテイ</t>
    </rPh>
    <rPh sb="23" eb="25">
      <t>ホゾン</t>
    </rPh>
    <rPh sb="26" eb="28">
      <t>イチジ</t>
    </rPh>
    <rPh sb="28" eb="30">
      <t>ショウニン</t>
    </rPh>
    <rPh sb="30" eb="32">
      <t>オウカ</t>
    </rPh>
    <phoneticPr fontId="1"/>
  </si>
  <si>
    <t>各工程ごとに申請データの格納</t>
    <rPh sb="6" eb="8">
      <t>シンセイ</t>
    </rPh>
    <rPh sb="12" eb="14">
      <t>カクノウ</t>
    </rPh>
    <phoneticPr fontId="1"/>
  </si>
  <si>
    <t>各工程ごとに作業内容の投稿</t>
    <rPh sb="0" eb="3">
      <t>カクコウテイ</t>
    </rPh>
    <rPh sb="6" eb="8">
      <t>サギョウ</t>
    </rPh>
    <rPh sb="8" eb="10">
      <t>ナイヨウ</t>
    </rPh>
    <rPh sb="11" eb="13">
      <t>トウコウ</t>
    </rPh>
    <phoneticPr fontId="1"/>
  </si>
  <si>
    <t>キントーン一次承認</t>
    <phoneticPr fontId="1"/>
  </si>
  <si>
    <t>lineworks割当確認</t>
    <phoneticPr fontId="1"/>
  </si>
  <si>
    <t>各案件ごとの作業</t>
    <rPh sb="0" eb="1">
      <t>カク</t>
    </rPh>
    <rPh sb="1" eb="3">
      <t>アンケン</t>
    </rPh>
    <rPh sb="6" eb="8">
      <t>サギョウ</t>
    </rPh>
    <phoneticPr fontId="1"/>
  </si>
  <si>
    <t>Lineworks完了報告</t>
    <phoneticPr fontId="1"/>
  </si>
  <si>
    <t>二次承認</t>
    <phoneticPr fontId="1"/>
  </si>
  <si>
    <t>キントーン二次承認</t>
    <phoneticPr fontId="1"/>
  </si>
  <si>
    <t>二次承認ボタン押下</t>
    <rPh sb="7" eb="9">
      <t>オウカ</t>
    </rPh>
    <phoneticPr fontId="1"/>
  </si>
  <si>
    <t>申請IDに対応したデータを開く</t>
    <rPh sb="5" eb="7">
      <t>タイオウ</t>
    </rPh>
    <rPh sb="13" eb="14">
      <t>ヒラ</t>
    </rPh>
    <phoneticPr fontId="1"/>
  </si>
  <si>
    <t>メーカーコード発行、紐づけ</t>
    <rPh sb="7" eb="9">
      <t>ハッコウ</t>
    </rPh>
    <rPh sb="10" eb="11">
      <t>ヒモ</t>
    </rPh>
    <phoneticPr fontId="1"/>
  </si>
  <si>
    <t>トーハン登録</t>
    <phoneticPr fontId="1"/>
  </si>
  <si>
    <t>工事助成費、送料助成費条件登録</t>
    <rPh sb="0" eb="5">
      <t>コウジジョセイヒ</t>
    </rPh>
    <rPh sb="6" eb="11">
      <t>ソウリョウジョセイヒ</t>
    </rPh>
    <rPh sb="11" eb="13">
      <t>ジョウケン</t>
    </rPh>
    <rPh sb="13" eb="15">
      <t>トウロク</t>
    </rPh>
    <phoneticPr fontId="1"/>
  </si>
  <si>
    <t>アクセス更新</t>
    <phoneticPr fontId="1"/>
  </si>
  <si>
    <t>雑務</t>
    <rPh sb="0" eb="2">
      <t>ザツム</t>
    </rPh>
    <phoneticPr fontId="1"/>
  </si>
  <si>
    <t>承認作業</t>
    <rPh sb="0" eb="2">
      <t>ショウニン</t>
    </rPh>
    <rPh sb="2" eb="4">
      <t>サギョウ</t>
    </rPh>
    <phoneticPr fontId="1"/>
  </si>
  <si>
    <t>メンテナンス　</t>
    <phoneticPr fontId="1"/>
  </si>
  <si>
    <t>ドキュメント更新</t>
    <phoneticPr fontId="1"/>
  </si>
  <si>
    <t>データの加工</t>
    <rPh sb="4" eb="6">
      <t>カコウ</t>
    </rPh>
    <phoneticPr fontId="1"/>
  </si>
  <si>
    <t>登録、変更</t>
    <rPh sb="0" eb="2">
      <t>トウロク</t>
    </rPh>
    <rPh sb="3" eb="5">
      <t>ヘンコウ</t>
    </rPh>
    <phoneticPr fontId="1"/>
  </si>
  <si>
    <t>依頼内容の確認</t>
    <phoneticPr fontId="1"/>
  </si>
  <si>
    <t>問い合わせ等の対応</t>
    <rPh sb="0" eb="1">
      <t>ト</t>
    </rPh>
    <rPh sb="2" eb="3">
      <t>ア</t>
    </rPh>
    <rPh sb="5" eb="6">
      <t>ナド</t>
    </rPh>
    <rPh sb="7" eb="9">
      <t>タイオウ</t>
    </rPh>
    <phoneticPr fontId="1"/>
  </si>
  <si>
    <t>各種代行での依頼</t>
    <rPh sb="0" eb="2">
      <t>カクシュ</t>
    </rPh>
    <rPh sb="2" eb="4">
      <t>ダイコウ</t>
    </rPh>
    <rPh sb="6" eb="8">
      <t>イライ</t>
    </rPh>
    <phoneticPr fontId="1"/>
  </si>
  <si>
    <t>大項目</t>
    <rPh sb="0" eb="3">
      <t>ダイコウモク</t>
    </rPh>
    <phoneticPr fontId="1"/>
  </si>
  <si>
    <t>中項目</t>
    <rPh sb="0" eb="1">
      <t>チュウ</t>
    </rPh>
    <rPh sb="1" eb="3">
      <t>コウモク</t>
    </rPh>
    <phoneticPr fontId="1"/>
  </si>
  <si>
    <t>帳合変更</t>
    <phoneticPr fontId="1"/>
  </si>
  <si>
    <t>新規登録</t>
    <phoneticPr fontId="1"/>
  </si>
  <si>
    <t>インストアJAN発行、登録</t>
    <rPh sb="8" eb="10">
      <t>ハッコウ</t>
    </rPh>
    <rPh sb="11" eb="13">
      <t>トウロク</t>
    </rPh>
    <phoneticPr fontId="1"/>
  </si>
  <si>
    <t>伝単原価変更</t>
    <rPh sb="2" eb="4">
      <t>ゲンカ</t>
    </rPh>
    <phoneticPr fontId="1"/>
  </si>
  <si>
    <t>送付用データの加工</t>
    <rPh sb="0" eb="2">
      <t>ソウフ</t>
    </rPh>
    <rPh sb="2" eb="3">
      <t>ヨウ</t>
    </rPh>
    <rPh sb="7" eb="9">
      <t>カコウ</t>
    </rPh>
    <phoneticPr fontId="1"/>
  </si>
  <si>
    <t>キントーン</t>
    <phoneticPr fontId="1"/>
  </si>
  <si>
    <t>lineworkWF</t>
    <phoneticPr fontId="1"/>
  </si>
  <si>
    <t>linework</t>
    <phoneticPr fontId="1"/>
  </si>
  <si>
    <t>新業務アプリ</t>
    <rPh sb="0" eb="3">
      <t>シンギョウム</t>
    </rPh>
    <phoneticPr fontId="1"/>
  </si>
  <si>
    <t>アクセス</t>
    <phoneticPr fontId="1"/>
  </si>
  <si>
    <t>エクセル</t>
    <phoneticPr fontId="1"/>
  </si>
  <si>
    <t>使用システム、アプリ</t>
    <rPh sb="0" eb="2">
      <t>シヨウ</t>
    </rPh>
    <phoneticPr fontId="1"/>
  </si>
  <si>
    <t>PIM</t>
    <phoneticPr fontId="1"/>
  </si>
  <si>
    <t>サンダーバード</t>
    <phoneticPr fontId="1"/>
  </si>
  <si>
    <t>P2net</t>
    <phoneticPr fontId="1"/>
  </si>
  <si>
    <t>メール作成～送付</t>
    <rPh sb="3" eb="5">
      <t>サクセイ</t>
    </rPh>
    <rPh sb="6" eb="8">
      <t>ソウフ</t>
    </rPh>
    <phoneticPr fontId="1"/>
  </si>
  <si>
    <t>受電対応</t>
    <rPh sb="0" eb="2">
      <t>ジュデン</t>
    </rPh>
    <rPh sb="2" eb="4">
      <t>タイオウ</t>
    </rPh>
    <phoneticPr fontId="1"/>
  </si>
  <si>
    <t>使用用途</t>
    <rPh sb="0" eb="2">
      <t>シヨウ</t>
    </rPh>
    <rPh sb="2" eb="4">
      <t>ヨウト</t>
    </rPh>
    <phoneticPr fontId="1"/>
  </si>
  <si>
    <t>案件管理</t>
    <rPh sb="0" eb="2">
      <t>アンケン</t>
    </rPh>
    <rPh sb="2" eb="4">
      <t>カンリ</t>
    </rPh>
    <phoneticPr fontId="1"/>
  </si>
  <si>
    <t>過去の商談録閲覧</t>
    <rPh sb="0" eb="2">
      <t>カコ</t>
    </rPh>
    <rPh sb="3" eb="5">
      <t>ショウダン</t>
    </rPh>
    <rPh sb="5" eb="6">
      <t>ロク</t>
    </rPh>
    <rPh sb="6" eb="8">
      <t>エツラン</t>
    </rPh>
    <phoneticPr fontId="1"/>
  </si>
  <si>
    <t>案件の進捗管理や質疑相談</t>
    <rPh sb="0" eb="2">
      <t>アンケン</t>
    </rPh>
    <rPh sb="3" eb="5">
      <t>シンチョク</t>
    </rPh>
    <rPh sb="5" eb="7">
      <t>カンリ</t>
    </rPh>
    <rPh sb="8" eb="10">
      <t>シツギ</t>
    </rPh>
    <rPh sb="10" eb="12">
      <t>ソウダン</t>
    </rPh>
    <phoneticPr fontId="1"/>
  </si>
  <si>
    <t>データの検索や登録</t>
    <rPh sb="4" eb="6">
      <t>ケンサク</t>
    </rPh>
    <rPh sb="7" eb="9">
      <t>トウロク</t>
    </rPh>
    <phoneticPr fontId="1"/>
  </si>
  <si>
    <t>データの検索や登録</t>
    <rPh sb="7" eb="9">
      <t>トウロク</t>
    </rPh>
    <phoneticPr fontId="1"/>
  </si>
  <si>
    <t>メール内容の確認、送付</t>
    <rPh sb="3" eb="5">
      <t>ナイヨウ</t>
    </rPh>
    <rPh sb="6" eb="8">
      <t>カクニン</t>
    </rPh>
    <rPh sb="9" eb="11">
      <t>ソウフ</t>
    </rPh>
    <phoneticPr fontId="1"/>
  </si>
  <si>
    <t>メール送付</t>
    <phoneticPr fontId="1"/>
  </si>
  <si>
    <t>PIM修正</t>
    <rPh sb="0" eb="5">
      <t>シュウセイ</t>
    </rPh>
    <phoneticPr fontId="1"/>
  </si>
  <si>
    <t>その他、商品情報の変更</t>
    <rPh sb="4" eb="6">
      <t>ショウヒン</t>
    </rPh>
    <rPh sb="6" eb="8">
      <t>ジョウホウ</t>
    </rPh>
    <rPh sb="9" eb="11">
      <t>ヘンコウ</t>
    </rPh>
    <phoneticPr fontId="1"/>
  </si>
  <si>
    <t>共有フォルダの申請データを開く</t>
    <rPh sb="7" eb="9">
      <t>シンセイ</t>
    </rPh>
    <rPh sb="13" eb="14">
      <t>ヒラ</t>
    </rPh>
    <phoneticPr fontId="1"/>
  </si>
  <si>
    <t>キントーン否決</t>
    <rPh sb="5" eb="7">
      <t>ヒケツ</t>
    </rPh>
    <phoneticPr fontId="1"/>
  </si>
  <si>
    <t>否決理由をコメント＞否決押下</t>
    <rPh sb="0" eb="4">
      <t>ヒケツリユウ</t>
    </rPh>
    <rPh sb="10" eb="12">
      <t>ヒケツ</t>
    </rPh>
    <rPh sb="12" eb="14">
      <t>オウカ</t>
    </rPh>
    <phoneticPr fontId="1"/>
  </si>
  <si>
    <t>特記なし</t>
  </si>
  <si>
    <t>否決押下</t>
    <rPh sb="2" eb="4">
      <t>オウカ</t>
    </rPh>
    <phoneticPr fontId="1"/>
  </si>
  <si>
    <t>その他</t>
  </si>
  <si>
    <t>連番</t>
    <rPh sb="0" eb="2">
      <t>レンバン</t>
    </rPh>
    <phoneticPr fontId="1"/>
  </si>
  <si>
    <t>データの確認と作業内容の仕訳</t>
    <rPh sb="7" eb="11">
      <t>サギョウナイヨウ</t>
    </rPh>
    <rPh sb="12" eb="14">
      <t>シワケ</t>
    </rPh>
    <phoneticPr fontId="1"/>
  </si>
  <si>
    <t>各工程ごと</t>
    <rPh sb="0" eb="1">
      <t>カク</t>
    </rPh>
    <rPh sb="1" eb="3">
      <t>コウテイ</t>
    </rPh>
    <phoneticPr fontId="1"/>
  </si>
  <si>
    <t>各工程ごと</t>
    <phoneticPr fontId="1"/>
  </si>
  <si>
    <t>※例外対応　問い合わせ</t>
    <rPh sb="6" eb="7">
      <t>ト</t>
    </rPh>
    <rPh sb="8" eb="9">
      <t>ア</t>
    </rPh>
    <phoneticPr fontId="1"/>
  </si>
  <si>
    <t>申請内容の問い合わせ確認</t>
    <rPh sb="0" eb="4">
      <t>シンセイナイヨウ</t>
    </rPh>
    <rPh sb="5" eb="6">
      <t>ト</t>
    </rPh>
    <rPh sb="7" eb="8">
      <t>ア</t>
    </rPh>
    <rPh sb="10" eb="12">
      <t>カクニン</t>
    </rPh>
    <phoneticPr fontId="1"/>
  </si>
  <si>
    <t>否決</t>
    <rPh sb="0" eb="2">
      <t>ヒケツ</t>
    </rPh>
    <phoneticPr fontId="6"/>
  </si>
  <si>
    <t>各種代行でのPIM否承認</t>
    <rPh sb="9" eb="10">
      <t>イナ</t>
    </rPh>
    <rPh sb="10" eb="12">
      <t>ショウニン</t>
    </rPh>
    <phoneticPr fontId="1"/>
  </si>
  <si>
    <t>件数</t>
    <rPh sb="0" eb="2">
      <t>ケンスウ</t>
    </rPh>
    <phoneticPr fontId="1"/>
  </si>
  <si>
    <t>項目</t>
    <rPh sb="0" eb="2">
      <t>コウモク</t>
    </rPh>
    <phoneticPr fontId="1"/>
  </si>
  <si>
    <t>一次承認</t>
    <rPh sb="0" eb="4">
      <t>イチジショウニン</t>
    </rPh>
    <phoneticPr fontId="6"/>
  </si>
  <si>
    <t>二次承認</t>
    <rPh sb="0" eb="1">
      <t>ニ</t>
    </rPh>
    <rPh sb="1" eb="2">
      <t>ジ</t>
    </rPh>
    <rPh sb="2" eb="4">
      <t>ショウニン</t>
    </rPh>
    <phoneticPr fontId="6"/>
  </si>
  <si>
    <t>アウトプット</t>
    <phoneticPr fontId="1"/>
  </si>
  <si>
    <t>具体的な作業内容</t>
    <rPh sb="0" eb="3">
      <t>グタイテキ</t>
    </rPh>
    <rPh sb="4" eb="6">
      <t>サギョウ</t>
    </rPh>
    <rPh sb="6" eb="8">
      <t>ナイヨウ</t>
    </rPh>
    <phoneticPr fontId="1"/>
  </si>
  <si>
    <t>返信時の送付ファイル</t>
    <rPh sb="0" eb="3">
      <t>ヘンシンジ</t>
    </rPh>
    <phoneticPr fontId="1"/>
  </si>
  <si>
    <t>共有フォルダへの格納ファイル</t>
    <rPh sb="0" eb="2">
      <t>キョウユウ</t>
    </rPh>
    <rPh sb="8" eb="10">
      <t>カクノウ</t>
    </rPh>
    <phoneticPr fontId="1"/>
  </si>
  <si>
    <t>作業概要</t>
    <rPh sb="0" eb="2">
      <t>サギョウ</t>
    </rPh>
    <rPh sb="2" eb="4">
      <t>ガイヨウ</t>
    </rPh>
    <phoneticPr fontId="1"/>
  </si>
  <si>
    <t>作業概要カテゴリ　大</t>
    <rPh sb="9" eb="10">
      <t>ダイ</t>
    </rPh>
    <phoneticPr fontId="1"/>
  </si>
  <si>
    <t>作業概要カテゴリ　中</t>
    <rPh sb="9" eb="10">
      <t>チュウ</t>
    </rPh>
    <phoneticPr fontId="1"/>
  </si>
  <si>
    <t>月間の総作業時間</t>
  </si>
  <si>
    <t>月間の総作業時間</t>
    <rPh sb="0" eb="2">
      <t>ゲツカン</t>
    </rPh>
    <rPh sb="3" eb="4">
      <t>ソウ</t>
    </rPh>
    <rPh sb="4" eb="8">
      <t>サギョウジカン</t>
    </rPh>
    <phoneticPr fontId="1"/>
  </si>
  <si>
    <t>工数X件数＠分</t>
    <phoneticPr fontId="1"/>
  </si>
  <si>
    <t>一件当たり＠分</t>
    <rPh sb="0" eb="3">
      <t>イッケンア</t>
    </rPh>
    <phoneticPr fontId="1"/>
  </si>
  <si>
    <t>在宅環境での概算工数</t>
    <rPh sb="6" eb="8">
      <t>ガイサン</t>
    </rPh>
    <rPh sb="8" eb="10">
      <t>コウスウ</t>
    </rPh>
    <phoneticPr fontId="1"/>
  </si>
  <si>
    <t>備考：対象ファイル名、フォルダ名、システム使用メニュー、注意事項など</t>
    <rPh sb="0" eb="2">
      <t>ビコウ</t>
    </rPh>
    <rPh sb="3" eb="5">
      <t>タイショウ</t>
    </rPh>
    <rPh sb="9" eb="10">
      <t>メイ</t>
    </rPh>
    <rPh sb="21" eb="23">
      <t>シヨウ</t>
    </rPh>
    <rPh sb="28" eb="30">
      <t>チュウイ</t>
    </rPh>
    <rPh sb="30" eb="32">
      <t>ジコウ</t>
    </rPh>
    <phoneticPr fontId="1"/>
  </si>
  <si>
    <t>作業概要</t>
  </si>
  <si>
    <t>インストアJAN　一次承認</t>
  </si>
  <si>
    <t>値引カウントJAN　一次承認</t>
  </si>
  <si>
    <t>予約回収JAN　一次承認</t>
  </si>
  <si>
    <t>組み合わせJAN　一次承認</t>
  </si>
  <si>
    <t>ECエアコンセットJAN　一次承認</t>
  </si>
  <si>
    <t>新規登録　一次承認</t>
  </si>
  <si>
    <t>伝単変更　一次承認</t>
  </si>
  <si>
    <t>伝単変更　二次承認</t>
  </si>
  <si>
    <t>工事助成費
送料助成費更新　一次承認</t>
  </si>
  <si>
    <t>工事助成費
送料助成費更新　二次承認</t>
  </si>
  <si>
    <t>メーカーコード　一次承認　新規発行</t>
  </si>
  <si>
    <t>メーカーコード　一次承認　紐づけ</t>
  </si>
  <si>
    <t>PIM承認　各種代行依頼　個別承認</t>
  </si>
  <si>
    <t>PIM承認　各種代行依頼　否承認</t>
  </si>
  <si>
    <t>アクセス更新作業　伝単原価使用のアクセス更新</t>
  </si>
  <si>
    <t>新規登録案内リスト 
原価、伝単、仕入先変更リストの送付　データ加工とメール送信</t>
  </si>
  <si>
    <t>その他　一次承認　一括帳合変更</t>
  </si>
  <si>
    <t>月間の作業件数</t>
    <rPh sb="0" eb="2">
      <t>ゲッカン</t>
    </rPh>
    <rPh sb="3" eb="5">
      <t>サギョウ</t>
    </rPh>
    <rPh sb="5" eb="7">
      <t>ケンスウ</t>
    </rPh>
    <phoneticPr fontId="1"/>
  </si>
  <si>
    <t>4/1-28集計＠件数</t>
    <phoneticPr fontId="1"/>
  </si>
  <si>
    <t>作業フロー</t>
    <rPh sb="0" eb="2">
      <t>サギョウ</t>
    </rPh>
    <phoneticPr fontId="1"/>
  </si>
  <si>
    <t>作業概要カテゴリ　大</t>
  </si>
  <si>
    <t>作業概要カテゴリ　中</t>
  </si>
  <si>
    <t>割当確認から依頼完了までの共通部分</t>
  </si>
  <si>
    <t>割当確認から依頼完了までの共通部分　一次承認</t>
  </si>
  <si>
    <t>二次承認</t>
  </si>
  <si>
    <t>割当確認から依頼完了までの共通部分　二次承認</t>
  </si>
  <si>
    <t>キントーン否決</t>
  </si>
  <si>
    <t>割当確認から依頼完了までの共通部分　キントーン否決</t>
  </si>
  <si>
    <t>インストアJAN</t>
  </si>
  <si>
    <t>インストア、組み合わせ、予約回収JANなど</t>
  </si>
  <si>
    <t>インストア、組み合わせ、予約回収JANなど　二次承認</t>
  </si>
  <si>
    <t>値引カウントJAN</t>
  </si>
  <si>
    <t>予約回収JAN</t>
  </si>
  <si>
    <t>組み合わせJAN</t>
  </si>
  <si>
    <t>ECエアコンセットJAN</t>
  </si>
  <si>
    <t>新規登録</t>
  </si>
  <si>
    <t>新規登録　二次承認</t>
  </si>
  <si>
    <t>伝単変更</t>
  </si>
  <si>
    <t>工事助成費
送料助成費更新</t>
  </si>
  <si>
    <t>メーカーコード</t>
  </si>
  <si>
    <t>一次承認　新規発行</t>
  </si>
  <si>
    <t>一次承認　紐づけ</t>
  </si>
  <si>
    <t>メーカーコード　二次承認</t>
  </si>
  <si>
    <t>PIM承認</t>
  </si>
  <si>
    <t>各種代行依頼　個別承認</t>
  </si>
  <si>
    <t>各種代行依頼　否承認</t>
  </si>
  <si>
    <t>アクセス更新作業</t>
  </si>
  <si>
    <t>伝単原価使用のアクセス更新</t>
  </si>
  <si>
    <t>新規登録案内リスト 
原価、伝単、仕入先変更リストの送付</t>
  </si>
  <si>
    <t>データ加工とメール送信</t>
  </si>
  <si>
    <t>一次承認　一括帳合変更</t>
  </si>
  <si>
    <t>二次承認　一括帳合変更</t>
  </si>
  <si>
    <t>その他　二次承認　一括帳合変更</t>
  </si>
  <si>
    <t>帳合変更</t>
  </si>
  <si>
    <t>新規登録（JAN/インストア以外）</t>
    <rPh sb="14" eb="16">
      <t>イガイ</t>
    </rPh>
    <phoneticPr fontId="1"/>
  </si>
  <si>
    <t>トーハン登録</t>
  </si>
  <si>
    <t>各種代行でのPIM承認</t>
  </si>
  <si>
    <t>アクセス更新</t>
  </si>
  <si>
    <t>キントーンにて承認する案件を表示</t>
    <rPh sb="7" eb="9">
      <t>ショウニン</t>
    </rPh>
    <rPh sb="11" eb="13">
      <t>アンケン</t>
    </rPh>
    <rPh sb="14" eb="16">
      <t>ヒョウジ</t>
    </rPh>
    <phoneticPr fontId="1"/>
  </si>
  <si>
    <t>メーカーコード紐づけ</t>
    <phoneticPr fontId="1"/>
  </si>
  <si>
    <t>メーカーコード発行</t>
    <rPh sb="7" eb="9">
      <t>ハッコウ</t>
    </rPh>
    <phoneticPr fontId="1"/>
  </si>
  <si>
    <t>インストアJAN予約回収</t>
    <rPh sb="8" eb="12">
      <t>ヨヤクカイシュウ</t>
    </rPh>
    <phoneticPr fontId="1"/>
  </si>
  <si>
    <t>インストアJAN組み合わせ</t>
    <rPh sb="8" eb="9">
      <t>ク</t>
    </rPh>
    <rPh sb="10" eb="11">
      <t>ア</t>
    </rPh>
    <phoneticPr fontId="1"/>
  </si>
  <si>
    <t>インストアJANECエアコン</t>
    <phoneticPr fontId="1"/>
  </si>
  <si>
    <t>インストアJAN値引き、ポイント施策</t>
    <rPh sb="8" eb="10">
      <t>ネビ</t>
    </rPh>
    <rPh sb="16" eb="18">
      <t>シサク</t>
    </rPh>
    <phoneticPr fontId="1"/>
  </si>
  <si>
    <t>キントーン案件情報の閲覧</t>
    <rPh sb="7" eb="9">
      <t>ジョウホウ</t>
    </rPh>
    <rPh sb="10" eb="12">
      <t>エツラン</t>
    </rPh>
    <phoneticPr fontId="1"/>
  </si>
  <si>
    <t>G型以外リベート承認申請書アプリ</t>
    <phoneticPr fontId="1"/>
  </si>
  <si>
    <t>G型以外リベート承認申請書＞【A型】未処理＞キントーンにて検索&gt;情報の閲覧</t>
    <rPh sb="29" eb="31">
      <t>ケンサク</t>
    </rPh>
    <rPh sb="32" eb="34">
      <t>ジョウホウ</t>
    </rPh>
    <rPh sb="35" eb="37">
      <t>エツラン</t>
    </rPh>
    <phoneticPr fontId="1"/>
  </si>
  <si>
    <t>画面単位</t>
    <rPh sb="0" eb="4">
      <t>ガメンタンイ</t>
    </rPh>
    <phoneticPr fontId="1"/>
  </si>
  <si>
    <t>バイヤーや取引先へ確認</t>
    <phoneticPr fontId="1"/>
  </si>
  <si>
    <t>再送または修正対応</t>
    <phoneticPr fontId="1"/>
  </si>
  <si>
    <t>バイヤーや取引先へlineworksや電話等で確認</t>
    <rPh sb="19" eb="21">
      <t>デンワ</t>
    </rPh>
    <rPh sb="21" eb="22">
      <t>トウ</t>
    </rPh>
    <phoneticPr fontId="1"/>
  </si>
  <si>
    <t>再送または修正対応を実施、データを登録</t>
    <rPh sb="10" eb="12">
      <t>ジッシ</t>
    </rPh>
    <rPh sb="17" eb="19">
      <t>トウロク</t>
    </rPh>
    <phoneticPr fontId="1"/>
  </si>
  <si>
    <t>※例外対応　問い合わせ</t>
    <phoneticPr fontId="1"/>
  </si>
  <si>
    <t>G型以外リベート承認申請書
※コメントを確認</t>
    <phoneticPr fontId="1"/>
  </si>
  <si>
    <t>G型以外リベート承認申請書＞【A型】2次承認用一覧＞案件詳細ページ表示</t>
    <rPh sb="16" eb="17">
      <t>ガタ</t>
    </rPh>
    <rPh sb="19" eb="20">
      <t>ジ</t>
    </rPh>
    <rPh sb="20" eb="22">
      <t>ショウニン</t>
    </rPh>
    <rPh sb="22" eb="23">
      <t>ヨウ</t>
    </rPh>
    <rPh sb="23" eb="25">
      <t>イチラン</t>
    </rPh>
    <rPh sb="26" eb="28">
      <t>アンケン</t>
    </rPh>
    <rPh sb="28" eb="30">
      <t>ショウサイ</t>
    </rPh>
    <rPh sb="33" eb="35">
      <t>ヒョウジ</t>
    </rPh>
    <phoneticPr fontId="1"/>
  </si>
  <si>
    <t>キントーンへコメント</t>
    <phoneticPr fontId="1"/>
  </si>
  <si>
    <t>lineworksを更新</t>
    <rPh sb="10" eb="12">
      <t>コウシン</t>
    </rPh>
    <phoneticPr fontId="1"/>
  </si>
  <si>
    <t>否決理由をコメント</t>
    <rPh sb="0" eb="4">
      <t>ヒケツリユウ</t>
    </rPh>
    <phoneticPr fontId="1"/>
  </si>
  <si>
    <t>訂正線を追記</t>
    <rPh sb="0" eb="3">
      <t>テイセイセン</t>
    </rPh>
    <rPh sb="4" eb="6">
      <t>ツイキ</t>
    </rPh>
    <phoneticPr fontId="1"/>
  </si>
  <si>
    <t>登録用紙の不備を確認</t>
    <rPh sb="5" eb="7">
      <t>フビ</t>
    </rPh>
    <rPh sb="8" eb="10">
      <t>カクニン</t>
    </rPh>
    <phoneticPr fontId="1"/>
  </si>
  <si>
    <t>なし</t>
    <phoneticPr fontId="1"/>
  </si>
  <si>
    <t>割当確認から依頼完了までの共通部分　二次承認</t>
    <phoneticPr fontId="1"/>
  </si>
  <si>
    <t>ノートにて割当の確認＞色塗り＞申請IDコピー</t>
    <rPh sb="5" eb="7">
      <t>ワリアテ</t>
    </rPh>
    <rPh sb="8" eb="10">
      <t>カクニン</t>
    </rPh>
    <rPh sb="11" eb="13">
      <t>イロヌ</t>
    </rPh>
    <phoneticPr fontId="1"/>
  </si>
  <si>
    <t>A型専用トークのノートにて作業完了報告
メール送信日時、名前、グレー色へ変更</t>
    <rPh sb="13" eb="15">
      <t>サギョウ</t>
    </rPh>
    <rPh sb="23" eb="25">
      <t>ソウシン</t>
    </rPh>
    <rPh sb="25" eb="27">
      <t>ニチジ</t>
    </rPh>
    <rPh sb="28" eb="30">
      <t>ナマエ</t>
    </rPh>
    <rPh sb="34" eb="35">
      <t>イロ</t>
    </rPh>
    <rPh sb="36" eb="38">
      <t>ヘンコウ</t>
    </rPh>
    <phoneticPr fontId="1"/>
  </si>
  <si>
    <t>A型専用トークmmdd_登録依頼
※標準価格変更ありの場合は赤色塗</t>
    <rPh sb="18" eb="22">
      <t>ヒョウジュンカカク</t>
    </rPh>
    <rPh sb="22" eb="24">
      <t>ヘンコウ</t>
    </rPh>
    <rPh sb="27" eb="29">
      <t>バアイ</t>
    </rPh>
    <rPh sb="30" eb="31">
      <t>アカ</t>
    </rPh>
    <rPh sb="31" eb="32">
      <t>イロ</t>
    </rPh>
    <rPh sb="32" eb="33">
      <t>ヌリ</t>
    </rPh>
    <phoneticPr fontId="1"/>
  </si>
  <si>
    <t>割当確認から依頼完了までの全体共通</t>
    <rPh sb="0" eb="2">
      <t>ワリアテ</t>
    </rPh>
    <rPh sb="2" eb="4">
      <t>カクニン</t>
    </rPh>
    <rPh sb="6" eb="10">
      <t>イライカンリョウ</t>
    </rPh>
    <rPh sb="13" eb="15">
      <t>ゼンタイ</t>
    </rPh>
    <rPh sb="15" eb="17">
      <t>キョウツウ</t>
    </rPh>
    <phoneticPr fontId="1"/>
  </si>
  <si>
    <t>割当確認から依頼完了までの全体共通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</si>
</sst>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;;;"/>
    <numFmt numFmtId="177" formatCode="000"/>
    <numFmt numFmtId="179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b/>
      <sz val="11"/>
      <color theme="0"/>
      <name val="Meiryo UI"/>
      <family val="3"/>
      <charset val="128"/>
    </font>
    <font>
      <b/>
      <sz val="11"/>
      <color theme="1"/>
      <name val="Meiryo UI"/>
      <family val="3"/>
      <charset val="128"/>
    </font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b/>
      <sz val="11"/>
      <color rgb="FF00B0F0"/>
      <name val="Meiryo UI"/>
      <family val="3"/>
      <charset val="128"/>
    </font>
    <font>
      <b/>
      <sz val="11"/>
      <name val="Meiryo UI"/>
      <family val="3"/>
      <charset val="128"/>
    </font>
    <font>
      <sz val="11"/>
      <color rgb="FF00B0F0"/>
      <name val="游ゴシック"/>
      <family val="2"/>
      <charset val="128"/>
      <scheme val="minor"/>
    </font>
    <font>
      <sz val="11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CEC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dotted">
        <color auto="1"/>
      </top>
      <bottom style="dotted">
        <color auto="1"/>
      </bottom>
      <diagonal/>
    </border>
  </borders>
  <cellStyleXfs count="2">
    <xf numFmtId="0" fontId="0" fillId="0" borderId="0">
      <alignment vertical="center"/>
    </xf>
    <xf numFmtId="0" fontId="5" fillId="0" borderId="0"/>
  </cellStyleXfs>
  <cellXfs count="44">
    <xf numFmtId="0" fontId="0" fillId="0" borderId="0" xfId="0">
      <alignment vertical="center"/>
    </xf>
    <xf numFmtId="0" fontId="2" fillId="0" borderId="0" xfId="0" applyFont="1" applyAlignment="1">
      <alignment vertical="center"/>
    </xf>
    <xf numFmtId="0" fontId="5" fillId="0" borderId="0" xfId="1"/>
    <xf numFmtId="0" fontId="2" fillId="0" borderId="0" xfId="0" applyFont="1" applyAlignment="1">
      <alignment vertical="top"/>
    </xf>
    <xf numFmtId="0" fontId="4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4" fillId="3" borderId="1" xfId="0" applyFont="1" applyFill="1" applyBorder="1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Fill="1" applyBorder="1">
      <alignment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vertical="top"/>
    </xf>
    <xf numFmtId="177" fontId="2" fillId="0" borderId="0" xfId="0" applyNumberFormat="1" applyFont="1" applyFill="1" applyAlignment="1">
      <alignment vertical="top"/>
    </xf>
    <xf numFmtId="0" fontId="3" fillId="2" borderId="2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2" fillId="0" borderId="2" xfId="0" applyFont="1" applyFill="1" applyBorder="1" applyAlignment="1">
      <alignment vertical="top" wrapText="1"/>
    </xf>
    <xf numFmtId="0" fontId="7" fillId="0" borderId="2" xfId="0" applyFont="1" applyFill="1" applyBorder="1" applyAlignment="1">
      <alignment vertical="top" wrapText="1"/>
    </xf>
    <xf numFmtId="176" fontId="7" fillId="0" borderId="2" xfId="0" applyNumberFormat="1" applyFont="1" applyFill="1" applyBorder="1" applyAlignment="1">
      <alignment horizontal="left" vertical="top" wrapText="1"/>
    </xf>
    <xf numFmtId="177" fontId="3" fillId="2" borderId="2" xfId="0" applyNumberFormat="1" applyFont="1" applyFill="1" applyBorder="1" applyAlignment="1">
      <alignment vertical="center"/>
    </xf>
    <xf numFmtId="177" fontId="2" fillId="2" borderId="2" xfId="0" applyNumberFormat="1" applyFont="1" applyFill="1" applyBorder="1" applyAlignment="1">
      <alignment vertical="center"/>
    </xf>
    <xf numFmtId="0" fontId="8" fillId="2" borderId="2" xfId="0" applyFont="1" applyFill="1" applyBorder="1" applyAlignment="1">
      <alignment vertical="center" wrapText="1"/>
    </xf>
    <xf numFmtId="0" fontId="8" fillId="0" borderId="2" xfId="0" applyFont="1" applyFill="1" applyBorder="1" applyAlignment="1">
      <alignment vertical="top" wrapText="1"/>
    </xf>
    <xf numFmtId="176" fontId="8" fillId="0" borderId="2" xfId="0" applyNumberFormat="1" applyFont="1" applyFill="1" applyBorder="1" applyAlignment="1">
      <alignment vertical="top" wrapText="1"/>
    </xf>
    <xf numFmtId="0" fontId="8" fillId="0" borderId="0" xfId="0" applyFont="1" applyAlignment="1">
      <alignment vertical="top" wrapText="1"/>
    </xf>
    <xf numFmtId="0" fontId="7" fillId="2" borderId="2" xfId="0" applyFont="1" applyFill="1" applyBorder="1" applyAlignment="1">
      <alignment vertical="center"/>
    </xf>
    <xf numFmtId="0" fontId="9" fillId="0" borderId="0" xfId="0" applyFont="1">
      <alignment vertical="center"/>
    </xf>
    <xf numFmtId="0" fontId="8" fillId="0" borderId="2" xfId="0" applyNumberFormat="1" applyFont="1" applyFill="1" applyBorder="1" applyAlignment="1">
      <alignment vertical="top" wrapText="1"/>
    </xf>
    <xf numFmtId="0" fontId="8" fillId="4" borderId="2" xfId="0" applyFont="1" applyFill="1" applyBorder="1" applyAlignment="1">
      <alignment vertical="center"/>
    </xf>
    <xf numFmtId="0" fontId="10" fillId="4" borderId="2" xfId="0" applyFont="1" applyFill="1" applyBorder="1" applyAlignment="1">
      <alignment vertical="center" wrapText="1"/>
    </xf>
    <xf numFmtId="0" fontId="5" fillId="0" borderId="1" xfId="1" applyBorder="1"/>
    <xf numFmtId="0" fontId="2" fillId="0" borderId="1" xfId="1" applyFont="1" applyFill="1" applyBorder="1" applyAlignment="1">
      <alignment vertical="center"/>
    </xf>
    <xf numFmtId="0" fontId="2" fillId="0" borderId="1" xfId="1" applyFont="1" applyBorder="1" applyAlignment="1">
      <alignment vertical="center"/>
    </xf>
    <xf numFmtId="0" fontId="4" fillId="3" borderId="1" xfId="1" applyFont="1" applyFill="1" applyBorder="1" applyAlignment="1">
      <alignment vertical="center"/>
    </xf>
    <xf numFmtId="0" fontId="2" fillId="0" borderId="1" xfId="1" applyFont="1" applyFill="1" applyBorder="1" applyAlignment="1">
      <alignment horizontal="left" vertical="center"/>
    </xf>
    <xf numFmtId="0" fontId="4" fillId="0" borderId="2" xfId="0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vertical="top" wrapText="1"/>
    </xf>
    <xf numFmtId="0" fontId="4" fillId="5" borderId="2" xfId="0" applyFont="1" applyFill="1" applyBorder="1" applyAlignment="1">
      <alignment vertical="top" wrapText="1"/>
    </xf>
    <xf numFmtId="0" fontId="7" fillId="5" borderId="2" xfId="0" applyFont="1" applyFill="1" applyBorder="1" applyAlignment="1">
      <alignment vertical="top" wrapText="1"/>
    </xf>
    <xf numFmtId="0" fontId="2" fillId="5" borderId="2" xfId="0" applyFont="1" applyFill="1" applyBorder="1" applyAlignment="1">
      <alignment vertical="top" wrapText="1"/>
    </xf>
    <xf numFmtId="0" fontId="7" fillId="5" borderId="2" xfId="0" applyFont="1" applyFill="1" applyBorder="1" applyAlignment="1">
      <alignment horizontal="left" vertical="top" wrapText="1"/>
    </xf>
    <xf numFmtId="0" fontId="8" fillId="5" borderId="2" xfId="0" applyFont="1" applyFill="1" applyBorder="1" applyAlignment="1">
      <alignment vertical="top" wrapText="1"/>
    </xf>
    <xf numFmtId="179" fontId="2" fillId="0" borderId="2" xfId="0" quotePrefix="1" applyNumberFormat="1" applyFont="1" applyFill="1" applyBorder="1" applyAlignment="1">
      <alignment vertical="top"/>
    </xf>
  </cellXfs>
  <cellStyles count="2">
    <cellStyle name="標準" xfId="0" builtinId="0"/>
    <cellStyle name="標準 2" xfId="1" xr:uid="{728DFF37-8B4D-453F-AEB5-69DE720B1516}"/>
  </cellStyles>
  <dxfs count="22">
    <dxf>
      <font>
        <color theme="0" tint="-0.34998626667073579"/>
      </font>
    </dxf>
    <dxf>
      <fill>
        <patternFill>
          <bgColor theme="8" tint="0.79998168889431442"/>
        </patternFill>
      </fill>
    </dxf>
    <dxf>
      <font>
        <color theme="0" tint="-0.34998626667073579"/>
      </font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eiryo UI"/>
        <family val="3"/>
        <charset val="128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theme="0"/>
        </left>
        <right/>
        <top style="dotted">
          <color auto="1"/>
        </top>
        <bottom style="dotted">
          <color auto="1"/>
        </bottom>
        <vertical style="thin">
          <color theme="0"/>
        </vertical>
        <horizontal style="dotted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eiryo UI"/>
        <family val="3"/>
        <charset val="128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dotted">
          <color auto="1"/>
        </top>
        <bottom style="dotted">
          <color auto="1"/>
        </bottom>
        <vertical style="thin">
          <color theme="0"/>
        </vertical>
        <horizontal style="dotted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eiryo UI"/>
        <family val="3"/>
        <charset val="128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dotted">
          <color auto="1"/>
        </top>
        <bottom style="dotted">
          <color auto="1"/>
        </bottom>
        <vertical style="thin">
          <color theme="0"/>
        </vertical>
        <horizontal style="dotted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eiryo UI"/>
        <family val="3"/>
        <charset val="128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dotted">
          <color auto="1"/>
        </top>
        <bottom style="dotted">
          <color auto="1"/>
        </bottom>
        <vertical style="thin">
          <color theme="0"/>
        </vertical>
        <horizontal style="dotted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eiryo UI"/>
        <family val="3"/>
        <charset val="128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dotted">
          <color auto="1"/>
        </top>
        <bottom style="dotted">
          <color auto="1"/>
        </bottom>
        <vertical style="thin">
          <color theme="0"/>
        </vertical>
        <horizontal style="dotted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eiryo UI"/>
        <family val="3"/>
        <charset val="128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dotted">
          <color auto="1"/>
        </top>
        <bottom style="dotted">
          <color auto="1"/>
        </bottom>
        <vertical style="thin">
          <color theme="0"/>
        </vertical>
        <horizontal style="dotted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eiryo UI"/>
        <family val="3"/>
        <charset val="128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dotted">
          <color auto="1"/>
        </top>
        <bottom style="dotted">
          <color auto="1"/>
        </bottom>
        <vertical style="thin">
          <color theme="0"/>
        </vertical>
        <horizontal style="dotted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eiryo UI"/>
        <family val="3"/>
        <charset val="128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/>
        <right style="thin">
          <color theme="0"/>
        </right>
        <top style="dotted">
          <color auto="1"/>
        </top>
        <bottom style="dotted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Meiryo UI"/>
        <family val="3"/>
        <charset val="128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/>
        <right style="thin">
          <color theme="0"/>
        </right>
        <top style="dotted">
          <color auto="1"/>
        </top>
        <bottom style="dotted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Meiryo UI"/>
        <family val="3"/>
        <charset val="128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theme="0"/>
        </left>
        <right/>
        <top style="dotted">
          <color auto="1"/>
        </top>
        <bottom style="dotted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Meiryo UI"/>
        <family val="3"/>
        <charset val="128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 style="dotted">
          <color auto="1"/>
        </top>
        <bottom style="dotted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eiryo UI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dotted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eiryo UI"/>
        <family val="3"/>
        <charset val="128"/>
        <scheme val="none"/>
      </font>
      <numFmt numFmtId="177" formatCode="000"/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  <border diagonalUp="0" diagonalDown="0" outline="0">
        <left/>
        <right/>
        <top style="dotted">
          <color auto="1"/>
        </top>
        <bottom style="dotted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eiryo UI"/>
        <family val="3"/>
        <charset val="128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eiryo UI"/>
        <family val="3"/>
        <charset val="128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/>
        <bottom/>
        <vertical style="thin">
          <color theme="0"/>
        </vertical>
        <horizontal style="dotted">
          <color auto="1"/>
        </horizontal>
      </border>
    </dxf>
  </dxfs>
  <tableStyles count="0" defaultTableStyle="TableStyleMedium2" defaultPivotStyle="PivotStyleLight16"/>
  <colors>
    <mruColors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41910</xdr:colOff>
      <xdr:row>0</xdr:row>
      <xdr:rowOff>64770</xdr:rowOff>
    </xdr:from>
    <xdr:to>
      <xdr:col>2</xdr:col>
      <xdr:colOff>571501</xdr:colOff>
      <xdr:row>0</xdr:row>
      <xdr:rowOff>624840</xdr:rowOff>
    </xdr:to>
    <xdr:sp macro="" textlink="">
      <xdr:nvSpPr>
        <xdr:cNvPr id="2" name="吹き出し: 四角形 1">
          <a:extLst>
            <a:ext uri="{FF2B5EF4-FFF2-40B4-BE49-F238E27FC236}">
              <a16:creationId xmlns:a16="http://schemas.microsoft.com/office/drawing/2014/main" id="{07E1E0A2-BD81-47A1-8DA4-A733DD6A68CF}"/>
            </a:ext>
          </a:extLst>
        </xdr:cNvPr>
        <xdr:cNvSpPr/>
      </xdr:nvSpPr>
      <xdr:spPr>
        <a:xfrm>
          <a:off x="41910" y="64770"/>
          <a:ext cx="3592831" cy="560070"/>
        </a:xfrm>
        <a:prstGeom prst="wedgeRectCallout">
          <a:avLst>
            <a:gd name="adj1" fmla="val -31410"/>
            <a:gd name="adj2" fmla="val 81544"/>
          </a:avLst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050">
              <a:solidFill>
                <a:sysClr val="windowText" lastClr="000000"/>
              </a:solidFill>
            </a:rPr>
            <a:t>lineworks</a:t>
          </a:r>
          <a:r>
            <a:rPr kumimoji="1" lang="ja-JP" altLang="en-US" sz="1050">
              <a:solidFill>
                <a:sysClr val="windowText" lastClr="000000"/>
              </a:solidFill>
            </a:rPr>
            <a:t>日次ノート、各種代行およびキントーンより月間依頼件数を集計</a:t>
          </a:r>
          <a:endParaRPr kumimoji="1" lang="en-US" altLang="ja-JP" sz="1050">
            <a:solidFill>
              <a:sysClr val="windowText" lastClr="000000"/>
            </a:solidFill>
          </a:endParaRPr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adjustColumnWidth="0" connectionId="1" xr16:uid="{483B0A0C-FD5A-44A5-A520-B0861868AC1F}" autoFormatId="20" applyNumberFormats="0" applyBorderFormats="0" applyFontFormats="0" applyPatternFormats="0" applyAlignmentFormats="0" applyWidthHeightFormats="0">
  <queryTableRefresh nextId="23">
    <queryTableFields count="4">
      <queryTableField id="16" name="月間の総作業時間" tableColumnId="1"/>
      <queryTableField id="19" name="作業概要カテゴリ　大" tableColumnId="3"/>
      <queryTableField id="20" name="作業概要カテゴリ　中" tableColumnId="4"/>
      <queryTableField id="17" name="作業概要" tableColumnId="2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667665-48D3-4CB0-A750-E7C585357A3E}" name="テーブル1" displayName="テーブル1" ref="B2:N23" totalsRowShown="0" headerRowDxfId="21" dataDxfId="20">
  <autoFilter ref="B2:N23" xr:uid="{7702B0F3-AE27-4BA5-BB3D-5D11049A4E29}"/>
  <tableColumns count="13">
    <tableColumn id="13" xr3:uid="{3376A09C-7A30-4EA8-9875-82E16539C9A8}" name="連番" dataDxfId="19">
      <calculatedColumnFormula>ROW()-2</calculatedColumnFormula>
    </tableColumn>
    <tableColumn id="12" xr3:uid="{EEBB7F3F-02B9-47CE-8AB6-AB220802075C}" name="作業概要" dataDxfId="18">
      <calculatedColumnFormula>IF(テーブル1[[#This Row],[作業概要カテゴリ　大]]="","",テーブル1[[#This Row],[作業概要カテゴリ　大]]&amp;"　"&amp;テーブル1[[#This Row],[作業概要カテゴリ　中]])</calculatedColumnFormula>
    </tableColumn>
    <tableColumn id="1" xr3:uid="{C5EE3112-6EE4-4896-982C-F5227A3C22E0}" name="作業概要カテゴリ　大" dataDxfId="17"/>
    <tableColumn id="2" xr3:uid="{58E18989-92BB-499C-93CC-2CF8E0E3B4F2}" name="作業概要カテゴリ　中" dataDxfId="16"/>
    <tableColumn id="3" xr3:uid="{87526FF4-8114-48C7-BE1A-790AF6428A84}" name="作業フロー" dataDxfId="15"/>
    <tableColumn id="4" xr3:uid="{0A479D0B-C8A4-4FFE-9859-5F61317822E1}" name="具体的な作業内容" dataDxfId="14"/>
    <tableColumn id="6" xr3:uid="{974D6054-8174-4861-96E9-3F7475304F06}" name="備考：対象ファイル名、フォルダ名、システム使用メニュー、注意事項など" dataDxfId="13"/>
    <tableColumn id="11" xr3:uid="{A4A96CB6-CC3F-48BB-82C0-7E329B1A6535}" name="月間の総作業時間" dataDxfId="12">
      <calculatedColumnFormula>IFERROR(テーブル1[[#This Row],[在宅環境での概算工数]]*テーブル1[[#This Row],[月間の作業件数]],"-")</calculatedColumnFormula>
    </tableColumn>
    <tableColumn id="7" xr3:uid="{94BA093A-6371-41E1-978E-6800AE6BBF78}" name="在宅環境での概算工数" dataDxfId="11"/>
    <tableColumn id="10" xr3:uid="{6488AD4A-6572-4828-AC10-A8D4CBE854D0}" name="月間の作業件数" dataDxfId="10"/>
    <tableColumn id="9" xr3:uid="{997DA100-8A4D-4C49-9724-52E90F22C725}" name="アウトプット" dataDxfId="9"/>
    <tableColumn id="8" xr3:uid="{A7E3E04E-AA23-40CB-866D-617A739B76FC}" name="返信時の送付ファイル" dataDxfId="8"/>
    <tableColumn id="5" xr3:uid="{C36B7653-7C77-4294-B08E-53F3C6CEDC20}" name="共有フォルダへの格納ファイル" dataDxfId="7"/>
  </tableColumns>
  <tableStyleInfo name="TableStyleMedium4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C1988CD-A94C-4C26-9EBC-B60DA1A27C0F}" name="テーブル1_2" displayName="テーブル1_2" ref="A1:D25" tableType="queryTable" totalsRowShown="0">
  <autoFilter ref="A1:D25" xr:uid="{7AFB2F12-0AB3-4B80-B799-0295F3D33947}"/>
  <sortState ref="A2:D25">
    <sortCondition descending="1" ref="A1:A25"/>
  </sortState>
  <tableColumns count="4">
    <tableColumn id="1" xr3:uid="{C112F60A-7A78-4D5C-8B79-FDE46E70E46F}" uniqueName="1" name="月間の総作業時間" queryTableFieldId="16"/>
    <tableColumn id="3" xr3:uid="{A58EBAE4-C0A6-4916-9242-3968717D3553}" uniqueName="3" name="作業概要カテゴリ　大" queryTableFieldId="19"/>
    <tableColumn id="4" xr3:uid="{A217D102-6833-4BE5-8E32-697E1EF772C3}" uniqueName="4" name="作業概要カテゴリ　中" queryTableFieldId="20"/>
    <tableColumn id="2" xr3:uid="{7E6686E5-2A1B-48B4-BB37-52A51C146540}" uniqueName="2" name="作業概要" queryTableFieldId="17"/>
  </tableColumns>
  <tableStyleInfo name="TableStyleMedium7" showFirstColumn="0" showLastColumn="0" showRowStripes="0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6948F-8384-4202-B8BB-07FC6DBD31C2}">
  <sheetPr codeName="Sheet1"/>
  <dimension ref="B1:C30"/>
  <sheetViews>
    <sheetView workbookViewId="0">
      <selection activeCell="N9" sqref="N9"/>
    </sheetView>
  </sheetViews>
  <sheetFormatPr defaultRowHeight="15" x14ac:dyDescent="0.45"/>
  <cols>
    <col min="1" max="1" width="3.5" style="7" customWidth="1"/>
    <col min="2" max="2" width="19.19921875" style="7" bestFit="1" customWidth="1"/>
    <col min="3" max="3" width="31.69921875" style="7" bestFit="1" customWidth="1"/>
    <col min="4" max="16384" width="8.796875" style="7"/>
  </cols>
  <sheetData>
    <row r="1" spans="2:3" x14ac:dyDescent="0.45">
      <c r="B1" s="6" t="s">
        <v>33</v>
      </c>
      <c r="C1" s="6" t="s">
        <v>34</v>
      </c>
    </row>
    <row r="2" spans="2:3" x14ac:dyDescent="0.45">
      <c r="B2" s="8" t="s">
        <v>29</v>
      </c>
      <c r="C2" s="9" t="s">
        <v>38</v>
      </c>
    </row>
    <row r="3" spans="2:3" x14ac:dyDescent="0.45">
      <c r="B3" s="8"/>
      <c r="C3" s="9" t="s">
        <v>35</v>
      </c>
    </row>
    <row r="4" spans="2:3" x14ac:dyDescent="0.45">
      <c r="B4" s="8"/>
      <c r="C4" s="9" t="s">
        <v>37</v>
      </c>
    </row>
    <row r="5" spans="2:3" x14ac:dyDescent="0.45">
      <c r="B5" s="8"/>
      <c r="C5" s="9" t="s">
        <v>36</v>
      </c>
    </row>
    <row r="6" spans="2:3" x14ac:dyDescent="0.45">
      <c r="B6" s="8"/>
      <c r="C6" s="9" t="s">
        <v>20</v>
      </c>
    </row>
    <row r="7" spans="2:3" x14ac:dyDescent="0.45">
      <c r="B7" s="8"/>
      <c r="C7" s="9" t="s">
        <v>21</v>
      </c>
    </row>
    <row r="8" spans="2:3" x14ac:dyDescent="0.45">
      <c r="B8" s="8"/>
      <c r="C8" s="9" t="s">
        <v>22</v>
      </c>
    </row>
    <row r="9" spans="2:3" x14ac:dyDescent="0.45">
      <c r="B9" s="8"/>
      <c r="C9" s="9" t="s">
        <v>60</v>
      </c>
    </row>
    <row r="10" spans="2:3" x14ac:dyDescent="0.45">
      <c r="B10" s="8"/>
      <c r="C10" s="8" t="s">
        <v>61</v>
      </c>
    </row>
    <row r="11" spans="2:3" x14ac:dyDescent="0.45">
      <c r="B11" s="8" t="s">
        <v>25</v>
      </c>
      <c r="C11" s="8" t="s">
        <v>1</v>
      </c>
    </row>
    <row r="12" spans="2:3" x14ac:dyDescent="0.45">
      <c r="B12" s="8" t="s">
        <v>26</v>
      </c>
      <c r="C12" s="8" t="s">
        <v>23</v>
      </c>
    </row>
    <row r="13" spans="2:3" x14ac:dyDescent="0.45">
      <c r="B13" s="8"/>
      <c r="C13" s="8" t="s">
        <v>27</v>
      </c>
    </row>
    <row r="14" spans="2:3" x14ac:dyDescent="0.45">
      <c r="B14" s="8" t="s">
        <v>31</v>
      </c>
      <c r="C14" s="8" t="s">
        <v>30</v>
      </c>
    </row>
    <row r="15" spans="2:3" x14ac:dyDescent="0.45">
      <c r="B15" s="8"/>
      <c r="C15" s="8" t="s">
        <v>32</v>
      </c>
    </row>
    <row r="16" spans="2:3" x14ac:dyDescent="0.45">
      <c r="B16" s="8" t="s">
        <v>24</v>
      </c>
      <c r="C16" s="8" t="s">
        <v>39</v>
      </c>
    </row>
    <row r="17" spans="2:3" x14ac:dyDescent="0.45">
      <c r="B17" s="8"/>
      <c r="C17" s="8" t="s">
        <v>50</v>
      </c>
    </row>
    <row r="18" spans="2:3" x14ac:dyDescent="0.45">
      <c r="B18" s="8"/>
      <c r="C18" s="8" t="s">
        <v>51</v>
      </c>
    </row>
    <row r="20" spans="2:3" x14ac:dyDescent="0.45">
      <c r="B20" s="6" t="s">
        <v>46</v>
      </c>
      <c r="C20" s="6" t="s">
        <v>52</v>
      </c>
    </row>
    <row r="21" spans="2:3" x14ac:dyDescent="0.45">
      <c r="B21" s="8" t="s">
        <v>40</v>
      </c>
      <c r="C21" s="8" t="s">
        <v>53</v>
      </c>
    </row>
    <row r="22" spans="2:3" x14ac:dyDescent="0.45">
      <c r="B22" s="8" t="s">
        <v>41</v>
      </c>
      <c r="C22" s="8" t="s">
        <v>54</v>
      </c>
    </row>
    <row r="23" spans="2:3" x14ac:dyDescent="0.45">
      <c r="B23" s="8" t="s">
        <v>42</v>
      </c>
      <c r="C23" s="8" t="s">
        <v>55</v>
      </c>
    </row>
    <row r="24" spans="2:3" x14ac:dyDescent="0.45">
      <c r="B24" s="8" t="s">
        <v>47</v>
      </c>
      <c r="C24" s="8" t="s">
        <v>57</v>
      </c>
    </row>
    <row r="25" spans="2:3" x14ac:dyDescent="0.45">
      <c r="B25" s="8" t="s">
        <v>3</v>
      </c>
      <c r="C25" s="8" t="s">
        <v>56</v>
      </c>
    </row>
    <row r="26" spans="2:3" x14ac:dyDescent="0.45">
      <c r="B26" s="8" t="s">
        <v>43</v>
      </c>
      <c r="C26" s="8" t="s">
        <v>57</v>
      </c>
    </row>
    <row r="27" spans="2:3" x14ac:dyDescent="0.45">
      <c r="B27" s="8" t="s">
        <v>48</v>
      </c>
      <c r="C27" s="8" t="s">
        <v>58</v>
      </c>
    </row>
    <row r="28" spans="2:3" x14ac:dyDescent="0.45">
      <c r="B28" s="8" t="s">
        <v>49</v>
      </c>
      <c r="C28" s="8" t="s">
        <v>59</v>
      </c>
    </row>
    <row r="29" spans="2:3" x14ac:dyDescent="0.45">
      <c r="B29" s="8" t="s">
        <v>44</v>
      </c>
      <c r="C29" s="8" t="s">
        <v>28</v>
      </c>
    </row>
    <row r="30" spans="2:3" x14ac:dyDescent="0.45">
      <c r="B30" s="8" t="s">
        <v>45</v>
      </c>
      <c r="C30" s="8" t="s">
        <v>28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FAFE5-6AC6-4100-8423-F5DDD5B8FFA4}">
  <sheetPr codeName="Sheet2"/>
  <dimension ref="A1:AE23"/>
  <sheetViews>
    <sheetView tabSelected="1" zoomScale="85" zoomScaleNormal="85" workbookViewId="0">
      <pane xSplit="5" ySplit="2" topLeftCell="G3" activePane="bottomRight" state="frozen"/>
      <selection pane="topRight" activeCell="D1" sqref="D1"/>
      <selection pane="bottomLeft" activeCell="A3" sqref="A3"/>
      <selection pane="bottomRight" activeCell="H12" sqref="H12"/>
    </sheetView>
  </sheetViews>
  <sheetFormatPr defaultRowHeight="18" outlineLevelCol="1" x14ac:dyDescent="0.45"/>
  <cols>
    <col min="1" max="1" width="2.69921875" style="11" customWidth="1"/>
    <col min="2" max="2" width="5.69921875" style="12" hidden="1" customWidth="1" outlineLevel="1"/>
    <col min="3" max="3" width="35.69921875" style="4" customWidth="1" collapsed="1"/>
    <col min="4" max="4" width="22.69921875" style="4" hidden="1" customWidth="1" outlineLevel="1"/>
    <col min="5" max="5" width="22.69921875" style="25" hidden="1" customWidth="1" outlineLevel="1"/>
    <col min="6" max="6" width="35.69921875" style="27" customWidth="1" collapsed="1"/>
    <col min="7" max="7" width="45.69921875" style="4" customWidth="1"/>
    <col min="8" max="8" width="55.69921875" style="5" customWidth="1"/>
    <col min="9" max="11" width="20.69921875" style="5" customWidth="1" outlineLevel="1"/>
    <col min="12" max="15" width="28.69921875" style="5" customWidth="1"/>
    <col min="16" max="16384" width="8.796875" style="3"/>
  </cols>
  <sheetData>
    <row r="1" spans="1:31" s="1" customFormat="1" ht="15" x14ac:dyDescent="0.45">
      <c r="A1" s="10"/>
      <c r="B1" s="20"/>
      <c r="C1" s="13"/>
      <c r="D1" s="13"/>
      <c r="E1" s="22"/>
      <c r="F1" s="26"/>
      <c r="G1" s="14" t="s">
        <v>162</v>
      </c>
      <c r="H1" s="14"/>
      <c r="I1" s="29" t="s">
        <v>89</v>
      </c>
      <c r="J1" s="29" t="s">
        <v>90</v>
      </c>
      <c r="K1" s="29" t="s">
        <v>112</v>
      </c>
      <c r="L1" s="13"/>
      <c r="M1" s="13"/>
      <c r="N1" s="13"/>
    </row>
    <row r="2" spans="1:31" s="1" customFormat="1" ht="15" x14ac:dyDescent="0.45">
      <c r="A2" s="10"/>
      <c r="B2" s="21" t="s">
        <v>68</v>
      </c>
      <c r="C2" s="15" t="s">
        <v>84</v>
      </c>
      <c r="D2" s="15" t="s">
        <v>85</v>
      </c>
      <c r="E2" s="13" t="s">
        <v>86</v>
      </c>
      <c r="F2" s="13" t="s">
        <v>113</v>
      </c>
      <c r="G2" s="16" t="s">
        <v>81</v>
      </c>
      <c r="H2" s="16" t="s">
        <v>92</v>
      </c>
      <c r="I2" s="30" t="s">
        <v>88</v>
      </c>
      <c r="J2" s="30" t="s">
        <v>91</v>
      </c>
      <c r="K2" s="30" t="s">
        <v>111</v>
      </c>
      <c r="L2" s="16" t="s">
        <v>80</v>
      </c>
      <c r="M2" s="16" t="s">
        <v>82</v>
      </c>
      <c r="N2" s="16" t="s">
        <v>83</v>
      </c>
      <c r="AE2" s="1">
        <v>0</v>
      </c>
    </row>
    <row r="3" spans="1:31" ht="30" x14ac:dyDescent="0.45">
      <c r="B3" s="43">
        <f>ROW()-2</f>
        <v>1</v>
      </c>
      <c r="C3" s="38" t="str">
        <f>IF(テーブル1[[#This Row],[作業概要カテゴリ　大]]="","",テーブル1[[#This Row],[作業概要カテゴリ　大]]&amp;"　"&amp;テーブル1[[#This Row],[作業概要カテゴリ　中]])</f>
        <v>割当確認から依頼完了までの全体共通　一次承認</v>
      </c>
      <c r="D3" s="41" t="s">
        <v>180</v>
      </c>
      <c r="E3" s="42" t="s">
        <v>0</v>
      </c>
      <c r="F3" s="39" t="s">
        <v>117</v>
      </c>
      <c r="G3" s="40" t="s">
        <v>65</v>
      </c>
      <c r="H3" s="40" t="s">
        <v>65</v>
      </c>
      <c r="I3" s="40">
        <f>IFERROR(テーブル1[[#This Row],[在宅環境での概算工数]]*テーブル1[[#This Row],[月間の作業件数]],"-")</f>
        <v>3265</v>
      </c>
      <c r="J3" s="40">
        <v>5</v>
      </c>
      <c r="K3" s="40">
        <v>653</v>
      </c>
      <c r="L3" s="40" t="s">
        <v>40</v>
      </c>
      <c r="M3" s="40" t="s">
        <v>175</v>
      </c>
      <c r="N3" s="40" t="s">
        <v>175</v>
      </c>
      <c r="O3" s="3"/>
    </row>
    <row r="4" spans="1:31" ht="30" x14ac:dyDescent="0.45">
      <c r="B4" s="43">
        <f t="shared" ref="B4:B23" si="0">ROW()-2</f>
        <v>2</v>
      </c>
      <c r="C4" s="37" t="str">
        <f>IF(テーブル1[[#This Row],[作業概要カテゴリ　大]]="","",テーブル1[[#This Row],[作業概要カテゴリ　大]]&amp;"　"&amp;テーブル1[[#This Row],[作業概要カテゴリ　中]])</f>
        <v>割当確認から依頼完了までの全体共通　一次承認</v>
      </c>
      <c r="D4" s="19" t="s">
        <v>181</v>
      </c>
      <c r="E4" s="24" t="s">
        <v>0</v>
      </c>
      <c r="F4" s="18" t="s">
        <v>13</v>
      </c>
      <c r="G4" s="17" t="s">
        <v>177</v>
      </c>
      <c r="H4" s="17" t="s">
        <v>179</v>
      </c>
      <c r="I4" s="17">
        <f>IFERROR(テーブル1[[#This Row],[在宅環境での概算工数]]*テーブル1[[#This Row],[月間の作業件数]],"-")</f>
        <v>0</v>
      </c>
      <c r="J4" s="17"/>
      <c r="K4" s="17"/>
      <c r="L4" s="17"/>
      <c r="M4" s="17"/>
      <c r="N4" s="17"/>
      <c r="O4" s="3"/>
    </row>
    <row r="5" spans="1:31" ht="30" x14ac:dyDescent="0.45">
      <c r="B5" s="43">
        <f t="shared" si="0"/>
        <v>3</v>
      </c>
      <c r="C5" s="37" t="str">
        <f>IF(テーブル1[[#This Row],[作業概要カテゴリ　大]]="","",テーブル1[[#This Row],[作業概要カテゴリ　大]]&amp;"　"&amp;テーブル1[[#This Row],[作業概要カテゴリ　中]])</f>
        <v>割当確認から依頼完了までの全体共通　一次承認</v>
      </c>
      <c r="D5" s="19" t="s">
        <v>181</v>
      </c>
      <c r="E5" s="24" t="s">
        <v>0</v>
      </c>
      <c r="F5" s="18" t="s">
        <v>159</v>
      </c>
      <c r="G5" s="17" t="s">
        <v>161</v>
      </c>
      <c r="H5" s="17" t="s">
        <v>160</v>
      </c>
      <c r="I5" s="17">
        <f>IFERROR(テーブル1[[#This Row],[在宅環境での概算工数]]*テーブル1[[#This Row],[月間の作業件数]],"-")</f>
        <v>0</v>
      </c>
      <c r="J5" s="17"/>
      <c r="K5" s="17"/>
      <c r="L5" s="17"/>
      <c r="M5" s="17"/>
      <c r="N5" s="17"/>
      <c r="O5" s="3"/>
    </row>
    <row r="6" spans="1:31" ht="15" x14ac:dyDescent="0.45">
      <c r="B6" s="43">
        <f t="shared" si="0"/>
        <v>4</v>
      </c>
      <c r="C6" s="37" t="str">
        <f>IF(テーブル1[[#This Row],[作業概要カテゴリ　大]]="","",テーブル1[[#This Row],[作業概要カテゴリ　大]]&amp;"　"&amp;テーブル1[[#This Row],[作業概要カテゴリ　中]])</f>
        <v>割当確認から依頼完了までの全体共通　一次承認</v>
      </c>
      <c r="D6" s="19" t="s">
        <v>181</v>
      </c>
      <c r="E6" s="24" t="s">
        <v>0</v>
      </c>
      <c r="F6" s="18" t="s">
        <v>69</v>
      </c>
      <c r="G6" s="17" t="s">
        <v>71</v>
      </c>
      <c r="H6" s="17"/>
      <c r="I6" s="17">
        <f>IFERROR(テーブル1[[#This Row],[在宅環境での概算工数]]*テーブル1[[#This Row],[月間の作業件数]],"-")</f>
        <v>0</v>
      </c>
      <c r="J6" s="17"/>
      <c r="K6" s="17"/>
      <c r="L6" s="17"/>
      <c r="M6" s="17"/>
      <c r="N6" s="17"/>
      <c r="O6" s="3"/>
    </row>
    <row r="7" spans="1:31" ht="15" x14ac:dyDescent="0.45">
      <c r="B7" s="43">
        <f t="shared" si="0"/>
        <v>5</v>
      </c>
      <c r="C7" s="37" t="str">
        <f>IF(テーブル1[[#This Row],[作業概要カテゴリ　大]]="","",テーブル1[[#This Row],[作業概要カテゴリ　大]]&amp;"　"&amp;テーブル1[[#This Row],[作業概要カテゴリ　中]])</f>
        <v>割当確認から依頼完了までの全体共通　一次承認</v>
      </c>
      <c r="D7" s="19" t="s">
        <v>181</v>
      </c>
      <c r="E7" s="24" t="s">
        <v>0</v>
      </c>
      <c r="F7" s="18" t="s">
        <v>14</v>
      </c>
      <c r="G7" s="17" t="s">
        <v>70</v>
      </c>
      <c r="H7" s="17"/>
      <c r="I7" s="17">
        <f>IFERROR(テーブル1[[#This Row],[在宅環境での概算工数]]*テーブル1[[#This Row],[月間の作業件数]],"-")</f>
        <v>0</v>
      </c>
      <c r="J7" s="17"/>
      <c r="K7" s="17"/>
      <c r="L7" s="17"/>
      <c r="M7" s="17"/>
      <c r="N7" s="17"/>
      <c r="O7" s="3"/>
    </row>
    <row r="8" spans="1:31" ht="15" x14ac:dyDescent="0.45">
      <c r="B8" s="43">
        <f t="shared" si="0"/>
        <v>6</v>
      </c>
      <c r="C8" s="37" t="str">
        <f>IF(テーブル1[[#This Row],[作業概要カテゴリ　大]]="","",テーブル1[[#This Row],[作業概要カテゴリ　大]]&amp;"　"&amp;テーブル1[[#This Row],[作業概要カテゴリ　中]])</f>
        <v>割当確認から依頼完了までの全体共通　一次承認</v>
      </c>
      <c r="D8" s="19" t="s">
        <v>181</v>
      </c>
      <c r="E8" s="24" t="s">
        <v>0</v>
      </c>
      <c r="F8" s="18" t="s">
        <v>8</v>
      </c>
      <c r="G8" s="17" t="s">
        <v>11</v>
      </c>
      <c r="H8" s="17"/>
      <c r="I8" s="17">
        <f>IFERROR(テーブル1[[#This Row],[在宅環境での概算工数]]*テーブル1[[#This Row],[月間の作業件数]],"-")</f>
        <v>0</v>
      </c>
      <c r="J8" s="17"/>
      <c r="K8" s="17"/>
      <c r="L8" s="17"/>
      <c r="M8" s="17"/>
      <c r="N8" s="17"/>
      <c r="O8" s="3"/>
    </row>
    <row r="9" spans="1:31" ht="30" x14ac:dyDescent="0.45">
      <c r="B9" s="43">
        <f t="shared" si="0"/>
        <v>7</v>
      </c>
      <c r="C9" s="37" t="str">
        <f>IF(テーブル1[[#This Row],[作業概要カテゴリ　大]]="","",テーブル1[[#This Row],[作業概要カテゴリ　大]]&amp;"　"&amp;テーブル1[[#This Row],[作業概要カテゴリ　中]])</f>
        <v>割当確認から依頼完了までの全体共通　一次承認</v>
      </c>
      <c r="D9" s="19" t="s">
        <v>181</v>
      </c>
      <c r="E9" s="24" t="s">
        <v>0</v>
      </c>
      <c r="F9" s="18" t="s">
        <v>12</v>
      </c>
      <c r="G9" s="17" t="s">
        <v>9</v>
      </c>
      <c r="H9" s="17"/>
      <c r="I9" s="17">
        <f>IFERROR(テーブル1[[#This Row],[在宅環境での概算工数]]*テーブル1[[#This Row],[月間の作業件数]],"-")</f>
        <v>0</v>
      </c>
      <c r="J9" s="17"/>
      <c r="K9" s="17"/>
      <c r="L9" s="17"/>
      <c r="M9" s="17"/>
      <c r="N9" s="17"/>
      <c r="O9" s="3"/>
    </row>
    <row r="10" spans="1:31" ht="30" x14ac:dyDescent="0.45">
      <c r="B10" s="43">
        <f t="shared" si="0"/>
        <v>8</v>
      </c>
      <c r="C10" s="37" t="str">
        <f>IF(テーブル1[[#This Row],[作業概要カテゴリ　大]]="","",テーブル1[[#This Row],[作業概要カテゴリ　大]]&amp;"　"&amp;テーブル1[[#This Row],[作業概要カテゴリ　中]])</f>
        <v>割当確認から依頼完了までの全体共通　一次承認</v>
      </c>
      <c r="D10" s="19" t="s">
        <v>181</v>
      </c>
      <c r="E10" s="24" t="s">
        <v>0</v>
      </c>
      <c r="F10" s="18" t="s">
        <v>15</v>
      </c>
      <c r="G10" s="17" t="s">
        <v>178</v>
      </c>
      <c r="H10" s="17" t="s">
        <v>6</v>
      </c>
      <c r="I10" s="17">
        <f>IFERROR(テーブル1[[#This Row],[在宅環境での概算工数]]*テーブル1[[#This Row],[月間の作業件数]],"-")</f>
        <v>0</v>
      </c>
      <c r="J10" s="17"/>
      <c r="K10" s="17"/>
      <c r="L10" s="17"/>
      <c r="M10" s="17"/>
      <c r="N10" s="17"/>
      <c r="O10" s="3"/>
    </row>
    <row r="11" spans="1:31" ht="45" x14ac:dyDescent="0.45">
      <c r="B11" s="43">
        <f t="shared" si="0"/>
        <v>9</v>
      </c>
      <c r="C11" s="37" t="str">
        <f>IF(テーブル1[[#This Row],[作業概要カテゴリ　大]]="","",テーブル1[[#This Row],[作業概要カテゴリ　大]]&amp;"　"&amp;テーブル1[[#This Row],[作業概要カテゴリ　中]])</f>
        <v>割当確認から依頼完了までの全体共通　一次承認</v>
      </c>
      <c r="D11" s="19" t="s">
        <v>181</v>
      </c>
      <c r="E11" s="24" t="s">
        <v>0</v>
      </c>
      <c r="F11" s="18" t="s">
        <v>5</v>
      </c>
      <c r="G11" s="17" t="s">
        <v>10</v>
      </c>
      <c r="H11" s="17" t="s">
        <v>7</v>
      </c>
      <c r="I11" s="17">
        <f>IFERROR(テーブル1[[#This Row],[在宅環境での概算工数]]*テーブル1[[#This Row],[月間の作業件数]],"-")</f>
        <v>0</v>
      </c>
      <c r="J11" s="17"/>
      <c r="K11" s="17"/>
      <c r="L11" s="17"/>
      <c r="M11" s="17"/>
      <c r="N11" s="17"/>
      <c r="O11" s="3"/>
    </row>
    <row r="12" spans="1:31" ht="30" x14ac:dyDescent="0.45">
      <c r="B12" s="43">
        <f t="shared" si="0"/>
        <v>10</v>
      </c>
      <c r="C12" s="36" t="str">
        <f>IF(テーブル1[[#This Row],[作業概要カテゴリ　大]]="","",テーブル1[[#This Row],[作業概要カテゴリ　大]]&amp;"　"&amp;テーブル1[[#This Row],[作業概要カテゴリ　中]])</f>
        <v>割当確認から依頼完了までの全体共通　※例外対応　問い合わせ</v>
      </c>
      <c r="D12" s="19" t="s">
        <v>181</v>
      </c>
      <c r="E12" s="28" t="s">
        <v>72</v>
      </c>
      <c r="F12" s="18" t="s">
        <v>73</v>
      </c>
      <c r="G12" s="17" t="s">
        <v>174</v>
      </c>
      <c r="H12" s="17"/>
      <c r="I12" s="17">
        <f>IFERROR(テーブル1[[#This Row],[在宅環境での概算工数]]*テーブル1[[#This Row],[月間の作業件数]],"-")</f>
        <v>0</v>
      </c>
      <c r="J12" s="17">
        <v>15</v>
      </c>
      <c r="K12" s="17"/>
      <c r="L12" s="17"/>
      <c r="M12" s="17"/>
      <c r="N12" s="17"/>
      <c r="O12" s="3"/>
    </row>
    <row r="13" spans="1:31" ht="15" x14ac:dyDescent="0.45">
      <c r="B13" s="43">
        <f t="shared" si="0"/>
        <v>11</v>
      </c>
      <c r="C13" s="37" t="str">
        <f>IF(テーブル1[[#This Row],[作業概要カテゴリ　大]]="","",テーブル1[[#This Row],[作業概要カテゴリ　大]]&amp;"　"&amp;テーブル1[[#This Row],[作業概要カテゴリ　中]])</f>
        <v>割当確認から依頼完了までの全体共通　※例外対応　問い合わせ</v>
      </c>
      <c r="D13" s="19" t="s">
        <v>181</v>
      </c>
      <c r="E13" s="24" t="s">
        <v>167</v>
      </c>
      <c r="F13" s="18" t="s">
        <v>163</v>
      </c>
      <c r="G13" s="17" t="s">
        <v>165</v>
      </c>
      <c r="H13" s="17"/>
      <c r="I13" s="17">
        <f>IFERROR(テーブル1[[#This Row],[在宅環境での概算工数]]*テーブル1[[#This Row],[月間の作業件数]],"-")</f>
        <v>0</v>
      </c>
      <c r="J13" s="17"/>
      <c r="K13" s="17"/>
      <c r="L13" s="17"/>
      <c r="M13" s="17"/>
      <c r="N13" s="17"/>
      <c r="O13" s="3"/>
    </row>
    <row r="14" spans="1:31" ht="15" x14ac:dyDescent="0.45">
      <c r="B14" s="43">
        <f t="shared" si="0"/>
        <v>12</v>
      </c>
      <c r="C14" s="37" t="str">
        <f>IF(テーブル1[[#This Row],[作業概要カテゴリ　大]]="","",テーブル1[[#This Row],[作業概要カテゴリ　大]]&amp;"　"&amp;テーブル1[[#This Row],[作業概要カテゴリ　中]])</f>
        <v>割当確認から依頼完了までの全体共通　※例外対応　問い合わせ</v>
      </c>
      <c r="D14" s="19" t="s">
        <v>181</v>
      </c>
      <c r="E14" s="24" t="s">
        <v>167</v>
      </c>
      <c r="F14" s="18" t="s">
        <v>164</v>
      </c>
      <c r="G14" s="17" t="s">
        <v>166</v>
      </c>
      <c r="H14" s="17"/>
      <c r="I14" s="17">
        <f>IFERROR(テーブル1[[#This Row],[在宅環境での概算工数]]*テーブル1[[#This Row],[月間の作業件数]],"-")</f>
        <v>0</v>
      </c>
      <c r="J14" s="17"/>
      <c r="K14" s="17"/>
      <c r="L14" s="17"/>
      <c r="M14" s="17"/>
      <c r="N14" s="17"/>
      <c r="O14" s="3"/>
    </row>
    <row r="15" spans="1:31" ht="30" x14ac:dyDescent="0.45">
      <c r="B15" s="43">
        <f t="shared" si="0"/>
        <v>13</v>
      </c>
      <c r="C15" s="38" t="str">
        <f>IF(テーブル1[[#This Row],[作業概要カテゴリ　大]]="","",テーブル1[[#This Row],[作業概要カテゴリ　大]]&amp;"　"&amp;テーブル1[[#This Row],[作業概要カテゴリ　中]])</f>
        <v>割当確認から依頼完了までの全体共通　二次承認</v>
      </c>
      <c r="D15" s="41" t="s">
        <v>180</v>
      </c>
      <c r="E15" s="42" t="s">
        <v>16</v>
      </c>
      <c r="F15" s="39" t="s">
        <v>176</v>
      </c>
      <c r="G15" s="40" t="s">
        <v>65</v>
      </c>
      <c r="H15" s="40" t="s">
        <v>65</v>
      </c>
      <c r="I15" s="40">
        <f>IFERROR(テーブル1[[#This Row],[在宅環境での概算工数]]*テーブル1[[#This Row],[月間の作業件数]],"-")</f>
        <v>3265</v>
      </c>
      <c r="J15" s="40">
        <v>5</v>
      </c>
      <c r="K15" s="40">
        <v>653</v>
      </c>
      <c r="L15" s="40" t="s">
        <v>40</v>
      </c>
      <c r="M15" s="40" t="s">
        <v>175</v>
      </c>
      <c r="N15" s="40" t="s">
        <v>175</v>
      </c>
      <c r="O15" s="3"/>
    </row>
    <row r="16" spans="1:31" ht="30" x14ac:dyDescent="0.45">
      <c r="B16" s="43">
        <f t="shared" si="0"/>
        <v>14</v>
      </c>
      <c r="C16" s="37" t="str">
        <f>IF(テーブル1[[#This Row],[作業概要カテゴリ　大]]="","",テーブル1[[#This Row],[作業概要カテゴリ　大]]&amp;"　"&amp;テーブル1[[#This Row],[作業概要カテゴリ　中]])</f>
        <v>割当確認から依頼完了までの全体共通　二次承認</v>
      </c>
      <c r="D16" s="19" t="s">
        <v>181</v>
      </c>
      <c r="E16" s="24" t="s">
        <v>2</v>
      </c>
      <c r="F16" s="18" t="s">
        <v>152</v>
      </c>
      <c r="G16" s="17" t="s">
        <v>169</v>
      </c>
      <c r="H16" s="17" t="s">
        <v>168</v>
      </c>
      <c r="I16" s="17">
        <f>IFERROR(テーブル1[[#This Row],[在宅環境での概算工数]]*テーブル1[[#This Row],[月間の作業件数]],"-")</f>
        <v>0</v>
      </c>
      <c r="J16" s="17"/>
      <c r="K16" s="17"/>
      <c r="L16" s="17"/>
      <c r="M16" s="17"/>
      <c r="N16" s="17"/>
      <c r="O16" s="3"/>
    </row>
    <row r="17" spans="2:15" ht="45" x14ac:dyDescent="0.45">
      <c r="B17" s="43">
        <f t="shared" si="0"/>
        <v>15</v>
      </c>
      <c r="C17" s="37" t="str">
        <f>IF(テーブル1[[#This Row],[作業概要カテゴリ　大]]="","",テーブル1[[#This Row],[作業概要カテゴリ　大]]&amp;"　"&amp;テーブル1[[#This Row],[作業概要カテゴリ　中]])</f>
        <v>割当確認から依頼完了までの全体共通　二次承認</v>
      </c>
      <c r="D17" s="19" t="s">
        <v>181</v>
      </c>
      <c r="E17" s="24" t="s">
        <v>2</v>
      </c>
      <c r="F17" s="18" t="s">
        <v>62</v>
      </c>
      <c r="G17" s="17" t="s">
        <v>19</v>
      </c>
      <c r="H17" s="17" t="s">
        <v>7</v>
      </c>
      <c r="I17" s="17">
        <f>IFERROR(テーブル1[[#This Row],[在宅環境での概算工数]]*テーブル1[[#This Row],[月間の作業件数]],"-")</f>
        <v>0</v>
      </c>
      <c r="J17" s="17"/>
      <c r="K17" s="17"/>
      <c r="L17" s="17"/>
      <c r="M17" s="17"/>
      <c r="N17" s="17"/>
      <c r="O17" s="3"/>
    </row>
    <row r="18" spans="2:15" ht="15" x14ac:dyDescent="0.45">
      <c r="B18" s="43">
        <f t="shared" si="0"/>
        <v>16</v>
      </c>
      <c r="C18" s="37" t="str">
        <f>IF(テーブル1[[#This Row],[作業概要カテゴリ　大]]="","",テーブル1[[#This Row],[作業概要カテゴリ　大]]&amp;"　"&amp;テーブル1[[#This Row],[作業概要カテゴリ　中]])</f>
        <v>割当確認から依頼完了までの全体共通　二次承認</v>
      </c>
      <c r="D18" s="19" t="s">
        <v>181</v>
      </c>
      <c r="E18" s="24" t="s">
        <v>2</v>
      </c>
      <c r="F18" s="18" t="s">
        <v>14</v>
      </c>
      <c r="G18" s="17" t="s">
        <v>65</v>
      </c>
      <c r="H18" s="17"/>
      <c r="I18" s="17">
        <f>IFERROR(テーブル1[[#This Row],[在宅環境での概算工数]]*テーブル1[[#This Row],[月間の作業件数]],"-")</f>
        <v>0</v>
      </c>
      <c r="J18" s="17"/>
      <c r="K18" s="17"/>
      <c r="L18" s="17"/>
      <c r="M18" s="17"/>
      <c r="N18" s="17"/>
      <c r="O18" s="3"/>
    </row>
    <row r="19" spans="2:15" ht="15" x14ac:dyDescent="0.45">
      <c r="B19" s="43">
        <f t="shared" si="0"/>
        <v>17</v>
      </c>
      <c r="C19" s="37" t="str">
        <f>IF(テーブル1[[#This Row],[作業概要カテゴリ　大]]="","",テーブル1[[#This Row],[作業概要カテゴリ　大]]&amp;"　"&amp;テーブル1[[#This Row],[作業概要カテゴリ　中]])</f>
        <v>割当確認から依頼完了までの全体共通　二次承認</v>
      </c>
      <c r="D19" s="19" t="s">
        <v>181</v>
      </c>
      <c r="E19" s="24" t="s">
        <v>2</v>
      </c>
      <c r="F19" s="18" t="s">
        <v>17</v>
      </c>
      <c r="G19" s="17" t="s">
        <v>18</v>
      </c>
      <c r="H19" s="17"/>
      <c r="I19" s="17">
        <f>IFERROR(テーブル1[[#This Row],[在宅環境での概算工数]]*テーブル1[[#This Row],[月間の作業件数]],"-")</f>
        <v>0</v>
      </c>
      <c r="J19" s="17"/>
      <c r="K19" s="17"/>
      <c r="L19" s="17"/>
      <c r="M19" s="17"/>
      <c r="N19" s="17"/>
      <c r="O19" s="3"/>
    </row>
    <row r="20" spans="2:15" ht="30" x14ac:dyDescent="0.45">
      <c r="B20" s="43">
        <f t="shared" si="0"/>
        <v>18</v>
      </c>
      <c r="C20" s="36" t="str">
        <f>IF(テーブル1[[#This Row],[作業概要カテゴリ　大]]="","",テーブル1[[#This Row],[作業概要カテゴリ　大]]&amp;"　"&amp;テーブル1[[#This Row],[作業概要カテゴリ　中]])</f>
        <v>割当確認から依頼完了までの全体共通　キントーン否決</v>
      </c>
      <c r="D20" s="41" t="s">
        <v>180</v>
      </c>
      <c r="E20" s="23" t="s">
        <v>63</v>
      </c>
      <c r="F20" s="18" t="s">
        <v>121</v>
      </c>
      <c r="G20" s="17" t="s">
        <v>65</v>
      </c>
      <c r="H20" s="17"/>
      <c r="I20" s="17">
        <f>IFERROR(テーブル1[[#This Row],[在宅環境での概算工数]]*テーブル1[[#This Row],[月間の作業件数]],"-")</f>
        <v>15</v>
      </c>
      <c r="J20" s="17">
        <v>5</v>
      </c>
      <c r="K20" s="17">
        <v>3</v>
      </c>
      <c r="L20" s="17"/>
      <c r="M20" s="17"/>
      <c r="N20" s="17"/>
      <c r="O20" s="3"/>
    </row>
    <row r="21" spans="2:15" ht="15" x14ac:dyDescent="0.45">
      <c r="B21" s="43">
        <f t="shared" si="0"/>
        <v>19</v>
      </c>
      <c r="C21" s="37" t="str">
        <f>IF(テーブル1[[#This Row],[作業概要カテゴリ　大]]="","",テーブル1[[#This Row],[作業概要カテゴリ　大]]&amp;"　"&amp;テーブル1[[#This Row],[作業概要カテゴリ　中]])</f>
        <v>割当確認から依頼完了までの全体共通　キントーン否決</v>
      </c>
      <c r="D21" s="19" t="s">
        <v>181</v>
      </c>
      <c r="E21" s="24" t="s">
        <v>63</v>
      </c>
      <c r="F21" s="18" t="s">
        <v>170</v>
      </c>
      <c r="G21" s="17" t="s">
        <v>172</v>
      </c>
      <c r="H21" s="17"/>
      <c r="I21" s="17">
        <f>IFERROR(テーブル1[[#This Row],[在宅環境での概算工数]]*テーブル1[[#This Row],[月間の作業件数]],"-")</f>
        <v>0</v>
      </c>
      <c r="J21" s="17"/>
      <c r="K21" s="17"/>
      <c r="L21" s="17"/>
      <c r="M21" s="17"/>
      <c r="N21" s="17"/>
      <c r="O21" s="3"/>
    </row>
    <row r="22" spans="2:15" ht="15" x14ac:dyDescent="0.45">
      <c r="B22" s="43">
        <f t="shared" si="0"/>
        <v>20</v>
      </c>
      <c r="C22" s="37" t="str">
        <f>IF(テーブル1[[#This Row],[作業概要カテゴリ　大]]="","",テーブル1[[#This Row],[作業概要カテゴリ　大]]&amp;"　"&amp;テーブル1[[#This Row],[作業概要カテゴリ　中]])</f>
        <v>割当確認から依頼完了までの全体共通　キントーン否決</v>
      </c>
      <c r="D22" s="19" t="s">
        <v>181</v>
      </c>
      <c r="E22" s="24" t="s">
        <v>63</v>
      </c>
      <c r="F22" s="18" t="s">
        <v>171</v>
      </c>
      <c r="G22" s="17" t="s">
        <v>173</v>
      </c>
      <c r="H22" s="17"/>
      <c r="I22" s="17">
        <f>IFERROR(テーブル1[[#This Row],[在宅環境での概算工数]]*テーブル1[[#This Row],[月間の作業件数]],"-")</f>
        <v>0</v>
      </c>
      <c r="J22" s="17"/>
      <c r="K22" s="17"/>
      <c r="L22" s="17"/>
      <c r="M22" s="17"/>
      <c r="N22" s="17"/>
      <c r="O22" s="3"/>
    </row>
    <row r="23" spans="2:15" ht="15" x14ac:dyDescent="0.45">
      <c r="B23" s="43">
        <f t="shared" si="0"/>
        <v>21</v>
      </c>
      <c r="C23" s="37" t="str">
        <f>IF(テーブル1[[#This Row],[作業概要カテゴリ　大]]="","",テーブル1[[#This Row],[作業概要カテゴリ　大]]&amp;"　"&amp;テーブル1[[#This Row],[作業概要カテゴリ　中]])</f>
        <v>割当確認から依頼完了までの全体共通　キントーン否決</v>
      </c>
      <c r="D23" s="19" t="s">
        <v>181</v>
      </c>
      <c r="E23" s="24" t="s">
        <v>63</v>
      </c>
      <c r="F23" s="18" t="s">
        <v>66</v>
      </c>
      <c r="G23" s="17" t="s">
        <v>64</v>
      </c>
      <c r="H23" s="17"/>
      <c r="I23" s="17">
        <f>IFERROR(テーブル1[[#This Row],[在宅環境での概算工数]]*テーブル1[[#This Row],[月間の作業件数]],"-")</f>
        <v>0</v>
      </c>
      <c r="J23" s="17"/>
      <c r="K23" s="17"/>
      <c r="L23" s="17"/>
      <c r="M23" s="17"/>
      <c r="N23" s="17"/>
      <c r="O23" s="3"/>
    </row>
  </sheetData>
  <phoneticPr fontId="1"/>
  <conditionalFormatting sqref="D1">
    <cfRule type="expression" dxfId="6" priority="203">
      <formula>$E1="一次承認"</formula>
    </cfRule>
    <cfRule type="expression" dxfId="5" priority="204">
      <formula>$E1="二次承認"</formula>
    </cfRule>
  </conditionalFormatting>
  <conditionalFormatting sqref="C1">
    <cfRule type="expression" dxfId="4" priority="182">
      <formula>$E1="一次承認"</formula>
    </cfRule>
    <cfRule type="expression" dxfId="3" priority="183">
      <formula>$E1="二次承認"</formula>
    </cfRule>
  </conditionalFormatting>
  <conditionalFormatting sqref="L1:N23">
    <cfRule type="cellIs" dxfId="2" priority="53" operator="equal">
      <formula>"特記なし"</formula>
    </cfRule>
  </conditionalFormatting>
  <conditionalFormatting sqref="B1:N23">
    <cfRule type="expression" dxfId="1" priority="52">
      <formula>$F1="作業別、総作業時間の計算用"</formula>
    </cfRule>
  </conditionalFormatting>
  <conditionalFormatting sqref="L23:N23">
    <cfRule type="cellIs" dxfId="0" priority="51" operator="equal">
      <formula>"特記なし"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5899D-7921-414C-9E34-D8CA7D7346B3}">
  <sheetPr codeName="Sheet6"/>
  <dimension ref="A1:D25"/>
  <sheetViews>
    <sheetView zoomScale="85" zoomScaleNormal="85" workbookViewId="0">
      <selection activeCell="G2" sqref="G2"/>
    </sheetView>
  </sheetViews>
  <sheetFormatPr defaultRowHeight="18" x14ac:dyDescent="0.45"/>
  <cols>
    <col min="1" max="1" width="15.69921875" customWidth="1"/>
    <col min="2" max="2" width="55.5" bestFit="1" customWidth="1"/>
    <col min="3" max="3" width="27.796875" customWidth="1"/>
    <col min="4" max="4" width="72.3984375" hidden="1" customWidth="1"/>
    <col min="5" max="5" width="5.69921875" customWidth="1"/>
  </cols>
  <sheetData>
    <row r="1" spans="1:4" x14ac:dyDescent="0.45">
      <c r="A1" t="s">
        <v>87</v>
      </c>
      <c r="B1" t="s">
        <v>114</v>
      </c>
      <c r="C1" t="s">
        <v>115</v>
      </c>
      <c r="D1" t="s">
        <v>93</v>
      </c>
    </row>
    <row r="2" spans="1:4" x14ac:dyDescent="0.45">
      <c r="A2">
        <v>5060</v>
      </c>
      <c r="B2" t="s">
        <v>131</v>
      </c>
      <c r="C2" t="s">
        <v>4</v>
      </c>
      <c r="D2" t="s">
        <v>100</v>
      </c>
    </row>
    <row r="3" spans="1:4" x14ac:dyDescent="0.45">
      <c r="A3">
        <v>3265</v>
      </c>
      <c r="B3" t="s">
        <v>116</v>
      </c>
      <c r="C3" t="s">
        <v>4</v>
      </c>
      <c r="D3" t="s">
        <v>117</v>
      </c>
    </row>
    <row r="4" spans="1:4" x14ac:dyDescent="0.45">
      <c r="A4">
        <v>3265</v>
      </c>
      <c r="B4" t="s">
        <v>116</v>
      </c>
      <c r="C4" t="s">
        <v>118</v>
      </c>
      <c r="D4" t="s">
        <v>119</v>
      </c>
    </row>
    <row r="5" spans="1:4" x14ac:dyDescent="0.45">
      <c r="A5">
        <v>2590</v>
      </c>
      <c r="B5" t="s">
        <v>122</v>
      </c>
      <c r="C5" t="s">
        <v>4</v>
      </c>
      <c r="D5" t="s">
        <v>94</v>
      </c>
    </row>
    <row r="6" spans="1:4" x14ac:dyDescent="0.45">
      <c r="A6">
        <v>1530</v>
      </c>
      <c r="B6" t="s">
        <v>140</v>
      </c>
      <c r="C6" t="s">
        <v>141</v>
      </c>
      <c r="D6" t="s">
        <v>108</v>
      </c>
    </row>
    <row r="7" spans="1:4" x14ac:dyDescent="0.45">
      <c r="A7">
        <v>1265</v>
      </c>
      <c r="B7" t="s">
        <v>131</v>
      </c>
      <c r="C7" t="s">
        <v>118</v>
      </c>
      <c r="D7" t="s">
        <v>101</v>
      </c>
    </row>
    <row r="8" spans="1:4" x14ac:dyDescent="0.45">
      <c r="A8">
        <v>990</v>
      </c>
      <c r="B8" t="s">
        <v>123</v>
      </c>
      <c r="C8" t="s">
        <v>118</v>
      </c>
      <c r="D8" t="s">
        <v>124</v>
      </c>
    </row>
    <row r="9" spans="1:4" x14ac:dyDescent="0.45">
      <c r="A9">
        <v>660</v>
      </c>
      <c r="B9" t="s">
        <v>133</v>
      </c>
      <c r="C9" t="s">
        <v>134</v>
      </c>
      <c r="D9" t="s">
        <v>104</v>
      </c>
    </row>
    <row r="10" spans="1:4" x14ac:dyDescent="0.45">
      <c r="A10">
        <v>370</v>
      </c>
      <c r="B10" t="s">
        <v>126</v>
      </c>
      <c r="C10" t="s">
        <v>4</v>
      </c>
      <c r="D10" t="s">
        <v>96</v>
      </c>
    </row>
    <row r="11" spans="1:4" x14ac:dyDescent="0.45">
      <c r="A11">
        <v>370</v>
      </c>
      <c r="B11" t="s">
        <v>133</v>
      </c>
      <c r="C11" t="s">
        <v>118</v>
      </c>
      <c r="D11" t="s">
        <v>136</v>
      </c>
    </row>
    <row r="12" spans="1:4" x14ac:dyDescent="0.45">
      <c r="A12">
        <v>280</v>
      </c>
      <c r="B12" t="s">
        <v>129</v>
      </c>
      <c r="C12" t="s">
        <v>4</v>
      </c>
      <c r="D12" t="s">
        <v>99</v>
      </c>
    </row>
    <row r="13" spans="1:4" x14ac:dyDescent="0.45">
      <c r="A13">
        <v>255</v>
      </c>
      <c r="B13" t="s">
        <v>142</v>
      </c>
      <c r="C13" t="s">
        <v>143</v>
      </c>
      <c r="D13" t="s">
        <v>109</v>
      </c>
    </row>
    <row r="14" spans="1:4" x14ac:dyDescent="0.45">
      <c r="A14">
        <v>240</v>
      </c>
      <c r="B14" t="s">
        <v>137</v>
      </c>
      <c r="C14" t="s">
        <v>138</v>
      </c>
      <c r="D14" t="s">
        <v>106</v>
      </c>
    </row>
    <row r="15" spans="1:4" x14ac:dyDescent="0.45">
      <c r="A15">
        <v>180</v>
      </c>
      <c r="B15" t="s">
        <v>127</v>
      </c>
      <c r="C15" t="s">
        <v>4</v>
      </c>
      <c r="D15" t="s">
        <v>97</v>
      </c>
    </row>
    <row r="16" spans="1:4" x14ac:dyDescent="0.45">
      <c r="A16">
        <v>140</v>
      </c>
      <c r="B16" t="s">
        <v>129</v>
      </c>
      <c r="C16" t="s">
        <v>118</v>
      </c>
      <c r="D16" t="s">
        <v>130</v>
      </c>
    </row>
    <row r="17" spans="1:4" x14ac:dyDescent="0.45">
      <c r="A17">
        <v>120</v>
      </c>
      <c r="B17" t="s">
        <v>67</v>
      </c>
      <c r="C17" t="s">
        <v>144</v>
      </c>
      <c r="D17" t="s">
        <v>110</v>
      </c>
    </row>
    <row r="18" spans="1:4" x14ac:dyDescent="0.45">
      <c r="A18">
        <v>100</v>
      </c>
      <c r="B18" t="s">
        <v>128</v>
      </c>
      <c r="C18" t="s">
        <v>4</v>
      </c>
      <c r="D18" t="s">
        <v>98</v>
      </c>
    </row>
    <row r="19" spans="1:4" x14ac:dyDescent="0.45">
      <c r="A19">
        <v>40</v>
      </c>
      <c r="B19" t="s">
        <v>133</v>
      </c>
      <c r="C19" t="s">
        <v>135</v>
      </c>
      <c r="D19" t="s">
        <v>105</v>
      </c>
    </row>
    <row r="20" spans="1:4" x14ac:dyDescent="0.45">
      <c r="A20">
        <v>35</v>
      </c>
      <c r="B20" t="s">
        <v>125</v>
      </c>
      <c r="C20" t="s">
        <v>4</v>
      </c>
      <c r="D20" t="s">
        <v>95</v>
      </c>
    </row>
    <row r="21" spans="1:4" x14ac:dyDescent="0.45">
      <c r="A21">
        <v>30</v>
      </c>
      <c r="B21" t="s">
        <v>67</v>
      </c>
      <c r="C21" t="s">
        <v>145</v>
      </c>
      <c r="D21" t="s">
        <v>146</v>
      </c>
    </row>
    <row r="22" spans="1:4" x14ac:dyDescent="0.45">
      <c r="A22">
        <v>30</v>
      </c>
      <c r="B22" t="s">
        <v>132</v>
      </c>
      <c r="C22" t="s">
        <v>4</v>
      </c>
      <c r="D22" t="s">
        <v>102</v>
      </c>
    </row>
    <row r="23" spans="1:4" x14ac:dyDescent="0.45">
      <c r="A23">
        <v>15</v>
      </c>
      <c r="B23" t="s">
        <v>116</v>
      </c>
      <c r="C23" t="s">
        <v>120</v>
      </c>
      <c r="D23" t="s">
        <v>121</v>
      </c>
    </row>
    <row r="24" spans="1:4" x14ac:dyDescent="0.45">
      <c r="A24">
        <v>5</v>
      </c>
      <c r="B24" t="s">
        <v>137</v>
      </c>
      <c r="C24" t="s">
        <v>139</v>
      </c>
      <c r="D24" t="s">
        <v>107</v>
      </c>
    </row>
    <row r="25" spans="1:4" x14ac:dyDescent="0.45">
      <c r="A25">
        <v>5</v>
      </c>
      <c r="B25" t="s">
        <v>132</v>
      </c>
      <c r="C25" t="s">
        <v>118</v>
      </c>
      <c r="D25" t="s">
        <v>103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414A5-A65C-4328-9CFB-4A30CD7F4790}">
  <sheetPr codeName="Sheet7"/>
  <dimension ref="A1:C24"/>
  <sheetViews>
    <sheetView workbookViewId="0">
      <pane xSplit="2" ySplit="2" topLeftCell="C4" activePane="bottomRight" state="frozen"/>
      <selection activeCell="G2" sqref="G2"/>
      <selection pane="topRight" activeCell="G2" sqref="G2"/>
      <selection pane="bottomLeft" activeCell="G2" sqref="G2"/>
      <selection pane="bottomRight" activeCell="G2" sqref="G2"/>
    </sheetView>
  </sheetViews>
  <sheetFormatPr defaultRowHeight="18" x14ac:dyDescent="0.45"/>
  <cols>
    <col min="1" max="1" width="31.3984375" style="2" bestFit="1" customWidth="1"/>
    <col min="2" max="16384" width="8.796875" style="2"/>
  </cols>
  <sheetData>
    <row r="1" spans="1:3" ht="53.4" customHeight="1" x14ac:dyDescent="0.45"/>
    <row r="2" spans="1:3" x14ac:dyDescent="0.45">
      <c r="A2" s="34" t="s">
        <v>77</v>
      </c>
      <c r="B2" s="34" t="s">
        <v>76</v>
      </c>
    </row>
    <row r="3" spans="1:3" x14ac:dyDescent="0.45">
      <c r="A3" s="32" t="s">
        <v>38</v>
      </c>
      <c r="B3" s="31">
        <v>253</v>
      </c>
    </row>
    <row r="4" spans="1:3" x14ac:dyDescent="0.45">
      <c r="A4" s="32" t="s">
        <v>147</v>
      </c>
      <c r="B4" s="31">
        <v>6</v>
      </c>
    </row>
    <row r="5" spans="1:3" x14ac:dyDescent="0.45">
      <c r="A5" s="32" t="s">
        <v>37</v>
      </c>
      <c r="B5" s="31">
        <v>198</v>
      </c>
      <c r="C5" s="2">
        <v>259</v>
      </c>
    </row>
    <row r="6" spans="1:3" x14ac:dyDescent="0.45">
      <c r="A6" s="35" t="s">
        <v>155</v>
      </c>
      <c r="B6" s="31">
        <v>37</v>
      </c>
    </row>
    <row r="7" spans="1:3" x14ac:dyDescent="0.45">
      <c r="A7" s="35" t="s">
        <v>156</v>
      </c>
      <c r="B7" s="31">
        <v>12</v>
      </c>
    </row>
    <row r="8" spans="1:3" x14ac:dyDescent="0.45">
      <c r="A8" s="35" t="s">
        <v>158</v>
      </c>
      <c r="B8" s="31">
        <v>7</v>
      </c>
    </row>
    <row r="9" spans="1:3" x14ac:dyDescent="0.45">
      <c r="A9" s="35" t="s">
        <v>157</v>
      </c>
      <c r="B9" s="31">
        <v>5</v>
      </c>
    </row>
    <row r="10" spans="1:3" x14ac:dyDescent="0.45">
      <c r="A10" s="32" t="s">
        <v>148</v>
      </c>
      <c r="B10" s="31">
        <v>28</v>
      </c>
    </row>
    <row r="11" spans="1:3" x14ac:dyDescent="0.45">
      <c r="A11" s="32" t="s">
        <v>154</v>
      </c>
      <c r="B11" s="31">
        <v>66</v>
      </c>
      <c r="C11" s="2">
        <v>74</v>
      </c>
    </row>
    <row r="12" spans="1:3" x14ac:dyDescent="0.45">
      <c r="A12" s="35" t="s">
        <v>153</v>
      </c>
      <c r="B12" s="31">
        <v>8</v>
      </c>
    </row>
    <row r="13" spans="1:3" x14ac:dyDescent="0.45">
      <c r="A13" s="32" t="s">
        <v>22</v>
      </c>
      <c r="B13" s="31">
        <v>1</v>
      </c>
    </row>
    <row r="14" spans="1:3" x14ac:dyDescent="0.45">
      <c r="A14" s="33" t="s">
        <v>61</v>
      </c>
      <c r="B14" s="31">
        <v>35</v>
      </c>
    </row>
    <row r="15" spans="1:3" x14ac:dyDescent="0.45">
      <c r="B15" s="2">
        <f>SUM(B3:B14)</f>
        <v>656</v>
      </c>
    </row>
    <row r="16" spans="1:3" x14ac:dyDescent="0.45">
      <c r="A16" s="32" t="s">
        <v>149</v>
      </c>
      <c r="B16" s="31">
        <v>12</v>
      </c>
    </row>
    <row r="17" spans="1:2" x14ac:dyDescent="0.45">
      <c r="A17" s="33" t="s">
        <v>150</v>
      </c>
      <c r="B17" s="31">
        <v>24</v>
      </c>
    </row>
    <row r="18" spans="1:2" x14ac:dyDescent="0.45">
      <c r="A18" s="33" t="s">
        <v>75</v>
      </c>
      <c r="B18" s="31">
        <v>0</v>
      </c>
    </row>
    <row r="19" spans="1:2" x14ac:dyDescent="0.45">
      <c r="A19" s="33" t="s">
        <v>151</v>
      </c>
      <c r="B19" s="31">
        <v>17</v>
      </c>
    </row>
    <row r="21" spans="1:2" x14ac:dyDescent="0.45">
      <c r="A21" s="32" t="s">
        <v>78</v>
      </c>
      <c r="B21" s="31">
        <v>653</v>
      </c>
    </row>
    <row r="22" spans="1:2" x14ac:dyDescent="0.45">
      <c r="A22" s="32" t="s">
        <v>79</v>
      </c>
      <c r="B22" s="31">
        <v>653</v>
      </c>
    </row>
    <row r="23" spans="1:2" x14ac:dyDescent="0.45">
      <c r="A23" s="32" t="s">
        <v>74</v>
      </c>
      <c r="B23" s="31">
        <v>3</v>
      </c>
    </row>
    <row r="24" spans="1:2" x14ac:dyDescent="0.45">
      <c r="B24" s="2">
        <f>SUM(B22:B23)</f>
        <v>656</v>
      </c>
    </row>
  </sheetData>
  <phoneticPr fontId="1"/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AFBEB5-4B4C-4701-B79A-14F039A734A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A型登録業務概要</vt:lpstr>
      <vt:lpstr>作業調査シート</vt:lpstr>
      <vt:lpstr>【集計】月間総作業時間</vt:lpstr>
      <vt:lpstr>【集計】月間件数</vt:lpstr>
    </vt:vector>
  </TitlesOfParts>
  <Company>biccamera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11201062　吉橋　章</dc:creator>
  <cp:lastModifiedBy>11201062　吉橋　章</cp:lastModifiedBy>
  <dcterms:created xsi:type="dcterms:W3CDTF">2021-10-04T02:09:38Z</dcterms:created>
  <dcterms:modified xsi:type="dcterms:W3CDTF">2022-06-02T01:51:20Z</dcterms:modified>
</cp:coreProperties>
</file>